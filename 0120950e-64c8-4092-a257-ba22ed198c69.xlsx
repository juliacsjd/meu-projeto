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conceicao\Downloads\"/>
    </mc:Choice>
  </mc:AlternateContent>
  <xr:revisionPtr revIDLastSave="0" documentId="13_ncr:1_{26F462F7-2BBE-41AF-8577-4BB82E05B813}" xr6:coauthVersionLast="47" xr6:coauthVersionMax="47" xr10:uidLastSave="{00000000-0000-0000-0000-000000000000}"/>
  <bookViews>
    <workbookView xWindow="-108" yWindow="-108" windowWidth="23256" windowHeight="13896" tabRatio="0" firstSheet="6" activeTab="6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  <sheet name="D̳ashboard (3)" sheetId="6" r:id="rId5"/>
    <sheet name="D̳ashboard (2)" sheetId="5" r:id="rId6"/>
    <sheet name="D̳ashboard (4)" sheetId="7" r:id="rId7"/>
  </sheets>
  <externalReferences>
    <externalReference r:id="rId8"/>
  </externalReferences>
  <definedNames>
    <definedName name="SegmentaçãodeDados_Subscription_Type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7" l="1"/>
  <c r="B56" i="7"/>
  <c r="B54" i="7"/>
  <c r="D20" i="7"/>
  <c r="B55" i="7" s="1"/>
  <c r="H19" i="7"/>
  <c r="I19" i="7" s="1"/>
  <c r="D19" i="7"/>
  <c r="C19" i="7"/>
  <c r="C20" i="7" s="1"/>
  <c r="B19" i="7"/>
  <c r="I18" i="7"/>
  <c r="I20" i="7" s="1"/>
  <c r="H18" i="7"/>
  <c r="H20" i="7" s="1"/>
  <c r="D18" i="7"/>
  <c r="C18" i="7"/>
  <c r="B57" i="7" s="1"/>
  <c r="B18" i="7"/>
  <c r="I13" i="7"/>
  <c r="J12" i="7"/>
  <c r="I12" i="7"/>
  <c r="H12" i="7"/>
  <c r="G12" i="7"/>
  <c r="E12" i="7"/>
  <c r="D12" i="7"/>
  <c r="C12" i="7"/>
  <c r="B12" i="7"/>
  <c r="J11" i="7"/>
  <c r="I11" i="7"/>
  <c r="H11" i="7"/>
  <c r="G11" i="7"/>
  <c r="E11" i="7"/>
  <c r="D11" i="7"/>
  <c r="C11" i="7"/>
  <c r="B11" i="7"/>
  <c r="J10" i="7"/>
  <c r="J13" i="7" s="1"/>
  <c r="I10" i="7"/>
  <c r="H10" i="7"/>
  <c r="H13" i="7" s="1"/>
  <c r="G10" i="7"/>
  <c r="E10" i="7"/>
  <c r="E13" i="7" s="1"/>
  <c r="D10" i="7"/>
  <c r="D13" i="7" s="1"/>
  <c r="C10" i="7"/>
  <c r="C13" i="7" s="1"/>
  <c r="B10" i="7"/>
  <c r="H5" i="7"/>
  <c r="F5" i="7"/>
  <c r="D5" i="7"/>
  <c r="B5" i="7"/>
  <c r="B56" i="6"/>
  <c r="B54" i="6"/>
  <c r="H19" i="6"/>
  <c r="I19" i="6" s="1"/>
  <c r="D19" i="6"/>
  <c r="C19" i="6"/>
  <c r="C20" i="6" s="1"/>
  <c r="B19" i="6"/>
  <c r="H18" i="6"/>
  <c r="H20" i="6" s="1"/>
  <c r="D18" i="6"/>
  <c r="D20" i="6" s="1"/>
  <c r="B55" i="6" s="1"/>
  <c r="C18" i="6"/>
  <c r="B57" i="6" s="1"/>
  <c r="B18" i="6"/>
  <c r="I13" i="6"/>
  <c r="J12" i="6"/>
  <c r="I12" i="6"/>
  <c r="H12" i="6"/>
  <c r="G12" i="6"/>
  <c r="E12" i="6"/>
  <c r="D12" i="6"/>
  <c r="C12" i="6"/>
  <c r="B12" i="6"/>
  <c r="J11" i="6"/>
  <c r="I11" i="6"/>
  <c r="H11" i="6"/>
  <c r="G11" i="6"/>
  <c r="E11" i="6"/>
  <c r="D11" i="6"/>
  <c r="C11" i="6"/>
  <c r="B11" i="6"/>
  <c r="J10" i="6"/>
  <c r="J13" i="6" s="1"/>
  <c r="I10" i="6"/>
  <c r="H10" i="6"/>
  <c r="H13" i="6" s="1"/>
  <c r="G10" i="6"/>
  <c r="E10" i="6"/>
  <c r="E13" i="6" s="1"/>
  <c r="D10" i="6"/>
  <c r="D13" i="6" s="1"/>
  <c r="C10" i="6"/>
  <c r="C13" i="6" s="1"/>
  <c r="B10" i="6"/>
  <c r="J5" i="6"/>
  <c r="H5" i="6"/>
  <c r="F5" i="6"/>
  <c r="D5" i="6"/>
  <c r="B5" i="6"/>
  <c r="I18" i="6" l="1"/>
  <c r="I20" i="6" s="1"/>
  <c r="B5" i="5"/>
  <c r="D5" i="5"/>
  <c r="F5" i="5"/>
  <c r="H5" i="5"/>
  <c r="J5" i="5"/>
  <c r="B10" i="5"/>
  <c r="C10" i="5"/>
  <c r="D10" i="5"/>
  <c r="E10" i="5"/>
  <c r="G10" i="5"/>
  <c r="H10" i="5"/>
  <c r="I10" i="5"/>
  <c r="J10" i="5"/>
  <c r="B11" i="5"/>
  <c r="C11" i="5"/>
  <c r="C13" i="5" s="1"/>
  <c r="D11" i="5"/>
  <c r="E11" i="5"/>
  <c r="G11" i="5"/>
  <c r="H11" i="5"/>
  <c r="I11" i="5"/>
  <c r="J11" i="5"/>
  <c r="B12" i="5"/>
  <c r="C12" i="5"/>
  <c r="D12" i="5"/>
  <c r="E12" i="5"/>
  <c r="G12" i="5"/>
  <c r="H12" i="5"/>
  <c r="I12" i="5"/>
  <c r="J12" i="5"/>
  <c r="B18" i="5"/>
  <c r="C18" i="5"/>
  <c r="C20" i="5" s="1"/>
  <c r="D18" i="5"/>
  <c r="D20" i="5" s="1"/>
  <c r="B55" i="5" s="1"/>
  <c r="H18" i="5"/>
  <c r="I18" i="5" s="1"/>
  <c r="B19" i="5"/>
  <c r="C19" i="5"/>
  <c r="D19" i="5"/>
  <c r="H19" i="5"/>
  <c r="I19" i="5" s="1"/>
  <c r="B54" i="5"/>
  <c r="B56" i="5"/>
  <c r="E25" i="3"/>
  <c r="E36" i="3"/>
  <c r="I20" i="5" l="1"/>
  <c r="H20" i="5"/>
  <c r="J13" i="5"/>
  <c r="I13" i="5"/>
  <c r="B57" i="5"/>
  <c r="H13" i="5"/>
  <c r="E13" i="5"/>
  <c r="D13" i="5"/>
</calcChain>
</file>

<file path=xl/sharedStrings.xml><?xml version="1.0" encoding="utf-8"?>
<sst xmlns="http://schemas.openxmlformats.org/spreadsheetml/2006/main" count="2115" uniqueCount="346">
  <si>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</si>
  <si>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</si>
  <si>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</si>
  <si>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</si>
  <si>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</si>
  <si>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</si>
  <si>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</si>
  <si>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</si>
  <si>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</si>
  <si>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</si>
  <si>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</si>
  <si>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</si>
  <si>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</si>
  <si>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</si>
  <si>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</si>
  <si>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</si>
  <si>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</si>
  <si>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</si>
  <si>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</si>
  <si>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</si>
  <si>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</si>
  <si>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</si>
  <si>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</si>
  <si>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</si>
  <si>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</si>
  <si>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</si>
  <si>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</si>
  <si>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</si>
  <si>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</si>
  <si>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</si>
  <si>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</si>
  <si>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</si>
  <si>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</si>
  <si>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</si>
  <si>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</si>
  <si>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</si>
  <si>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</si>
  <si>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</si>
  <si>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</si>
  <si>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</si>
  <si>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</si>
  <si>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</si>
  <si>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</si>
  <si>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</si>
  <si>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</si>
  <si>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</si>
  <si>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</si>
  <si>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</si>
  <si>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</si>
  <si>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</si>
  <si>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</si>
  <si>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</si>
  <si>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</si>
  <si>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</si>
  <si>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</si>
  <si>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</si>
  <si>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</si>
  <si>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</si>
  <si>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</si>
  <si>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</si>
  <si>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</si>
  <si>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</si>
  <si>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</si>
  <si>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</si>
  <si>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</si>
  <si>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</si>
  <si>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</si>
  <si>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</si>
  <si>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</si>
  <si>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</si>
  <si>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</si>
  <si>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</si>
  <si>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</si>
  <si>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</si>
  <si>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</si>
  <si>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</si>
  <si>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</si>
  <si>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</si>
  <si>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</si>
  <si>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</si>
  <si>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</si>
  <si>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</si>
  <si>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</si>
  <si>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</si>
  <si>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</si>
  <si>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</si>
  <si>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</si>
  <si>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</si>
  <si>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</si>
  <si>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</si>
  <si>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</si>
  <si>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</si>
  <si>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</si>
  <si>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</si>
  <si>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</si>
  <si>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</si>
  <si>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</si>
  <si>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</si>
  <si>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</si>
  <si>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</si>
  <si>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</si>
  <si>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</si>
  <si>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</si>
  <si>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</si>
  <si>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</si>
  <si>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</si>
  <si>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</si>
  <si>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</si>
  <si>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</si>
  <si>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</si>
  <si>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</si>
  <si>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</si>
  <si>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</si>
  <si>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</si>
  <si>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</si>
  <si>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</si>
  <si>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</si>
  <si>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</si>
  <si>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</si>
  <si>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</si>
  <si>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</si>
  <si>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</si>
  <si>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</si>
  <si>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</si>
  <si>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</si>
  <si>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</si>
  <si>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</si>
  <si>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</si>
  <si>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</si>
  <si>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</si>
  <si>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</si>
  <si>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</si>
  <si>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</si>
  <si>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</si>
  <si>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</si>
  <si>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</si>
  <si>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</si>
  <si>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</si>
  <si>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</si>
  <si>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</si>
  <si>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</si>
  <si>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</si>
  <si>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</si>
  <si>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</si>
  <si>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</si>
  <si>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</si>
  <si>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</si>
  <si>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</si>
  <si>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</si>
  <si>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</si>
  <si>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</si>
  <si>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</si>
  <si>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</si>
  <si>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</si>
  <si>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</si>
  <si>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</si>
  <si>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</si>
  <si>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</si>
  <si>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</si>
  <si>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</si>
  <si>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</si>
  <si>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</si>
  <si>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</si>
  <si>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</si>
  <si>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</si>
  <si>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</si>
  <si>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</si>
  <si>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</si>
  <si>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</si>
  <si>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</si>
  <si>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</si>
  <si>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</si>
  <si>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</si>
  <si>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</si>
  <si>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</si>
  <si>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</si>
  <si>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</si>
  <si>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</si>
  <si>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</si>
  <si>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</si>
  <si>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</si>
  <si>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</si>
  <si>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</si>
  <si>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</si>
  <si>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</si>
  <si>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</si>
  <si>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</si>
  <si>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</si>
  <si>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</si>
  <si>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</si>
  <si>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</si>
  <si>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</si>
  <si>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</si>
  <si>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</si>
  <si>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</si>
  <si>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</si>
  <si>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</si>
  <si>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</si>
  <si>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</si>
  <si>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</si>
  <si>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</si>
  <si>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</si>
  <si>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</si>
  <si>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</si>
  <si>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</si>
  <si>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</si>
  <si>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</si>
  <si>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</si>
  <si>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</si>
  <si>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</si>
  <si>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</si>
  <si>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</si>
  <si>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</si>
  <si>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</si>
  <si>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</si>
  <si>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</si>
  <si>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</si>
  <si>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</si>
  <si>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</si>
  <si>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</si>
  <si>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</si>
  <si>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</si>
  <si>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</si>
  <si>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</si>
  <si>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</si>
  <si>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</si>
  <si>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</si>
  <si>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</si>
  <si>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</si>
  <si>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</si>
  <si>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</si>
  <si>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</si>
  <si>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</si>
  <si>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</si>
  <si>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</si>
  <si>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</si>
  <si>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</si>
  <si>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</si>
  <si>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</si>
  <si>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</si>
  <si>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</si>
  <si>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</si>
  <si>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</si>
  <si>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</si>
  <si>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</si>
  <si>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</si>
  <si>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</si>
  <si>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</si>
  <si>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</si>
  <si>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</si>
  <si>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</si>
  <si>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</si>
  <si>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</si>
  <si>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</si>
  <si>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</si>
  <si>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</si>
  <si>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</si>
  <si>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</si>
  <si>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</si>
  <si>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</si>
  <si>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</si>
  <si>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</si>
  <si>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</si>
  <si>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</si>
  <si>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</si>
  <si>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</si>
  <si>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</si>
  <si>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</si>
  <si>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</si>
  <si>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</si>
  <si>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</si>
  <si>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</si>
  <si>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</si>
  <si>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</si>
  <si>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</si>
  <si>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</si>
  <si>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</si>
  <si>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</si>
  <si>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</si>
  <si>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</si>
  <si>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</si>
  <si>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</si>
  <si>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</si>
  <si>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</si>
  <si>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</si>
  <si>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</si>
  <si>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</si>
  <si>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</si>
  <si>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</si>
  <si>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</si>
  <si>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</si>
  <si>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</si>
  <si>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</si>
  <si>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</si>
  <si>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</si>
  <si>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</si>
  <si>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</si>
  <si>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</si>
  <si>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</si>
  <si>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</si>
  <si>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</si>
  <si>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</si>
  <si>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</si>
  <si>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</si>
  <si>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</si>
  <si>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</si>
  <si>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</si>
  <si>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</si>
  <si>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</si>
  <si>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</si>
  <si>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</si>
  <si>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</si>
  <si>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</si>
  <si>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</si>
  <si>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</si>
  <si>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</si>
  <si>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</si>
  <si>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</si>
  <si>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</si>
  <si>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</si>
  <si>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</si>
  <si>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</si>
  <si>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</si>
  <si>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</si>
  <si>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📌 INSIGHTS E ANÁLISES</t>
  </si>
  <si>
    <t>TOTAL</t>
  </si>
  <si>
    <t>Inativo (No)</t>
  </si>
  <si>
    <t>Ativo (Yes)</t>
  </si>
  <si>
    <t>% do Total</t>
  </si>
  <si>
    <t>Quantidade</t>
  </si>
  <si>
    <t>Status</t>
  </si>
  <si>
    <t>Receita</t>
  </si>
  <si>
    <t>Assinantes</t>
  </si>
  <si>
    <t>Season Pass</t>
  </si>
  <si>
    <t>🔄 AUTO RENEWAL</t>
  </si>
  <si>
    <t>🎮 SEASON PASSES</t>
  </si>
  <si>
    <t>% Receita</t>
  </si>
  <si>
    <t>Tipo</t>
  </si>
  <si>
    <t>Plano</t>
  </si>
  <si>
    <t>📅 TIPO DE ASSINATURA</t>
  </si>
  <si>
    <t>📋 DISTRIBUIÇÃO POR PLANO</t>
  </si>
  <si>
    <t>🏷️ DESCONTOS</t>
  </si>
  <si>
    <t>📈 TICKET MÉDIO</t>
  </si>
  <si>
    <t>💰 RECEITA TOTAL</t>
  </si>
  <si>
    <t>👥 ASSINANTES</t>
  </si>
  <si>
    <t>📊 DASHBOARD DE VENDAS - GAME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</si>
</sst>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0.0%"/>
    <numFmt numFmtId="165" formatCode="\R&quot;R$&quot;\ #,##0"/>
    <numFmt numFmtId="166" formatCode="\R&quot;R$&quot;\ #,##0.00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i/>
      <sz val="11"/>
      <color rgb="FF666666"/>
      <name val="Aptos Narrow"/>
      <family val="2"/>
      <scheme val="minor"/>
    </font>
    <font>
      <b/>
      <sz val="14"/>
      <color rgb="FF107C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4"/>
      <color rgb="FF22C55E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FAFAFA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22C55E"/>
      </right>
      <top/>
      <bottom style="medium">
        <color rgb="FF22C55E"/>
      </bottom>
      <diagonal/>
    </border>
    <border>
      <left/>
      <right/>
      <top/>
      <bottom style="medium">
        <color rgb="FF22C55E"/>
      </bottom>
      <diagonal/>
    </border>
    <border>
      <left style="medium">
        <color rgb="FF22C55E"/>
      </left>
      <right/>
      <top/>
      <bottom style="medium">
        <color rgb="FF22C55E"/>
      </bottom>
      <diagonal/>
    </border>
    <border>
      <left/>
      <right style="medium">
        <color rgb="FF22C55E"/>
      </right>
      <top/>
      <bottom/>
      <diagonal/>
    </border>
    <border>
      <left style="medium">
        <color rgb="FF22C55E"/>
      </left>
      <right/>
      <top/>
      <bottom/>
      <diagonal/>
    </border>
    <border>
      <left/>
      <right style="medium">
        <color rgb="FF22C55E"/>
      </right>
      <top style="medium">
        <color rgb="FF22C55E"/>
      </top>
      <bottom/>
      <diagonal/>
    </border>
    <border>
      <left/>
      <right/>
      <top style="medium">
        <color rgb="FF22C55E"/>
      </top>
      <bottom/>
      <diagonal/>
    </border>
    <border>
      <left style="medium">
        <color rgb="FF22C55E"/>
      </left>
      <right/>
      <top style="medium">
        <color rgb="FF22C55E"/>
      </top>
      <bottom/>
      <diagonal/>
    </border>
    <border>
      <left style="thin">
        <color auto="1"/>
      </left>
      <right style="medium">
        <color rgb="FF22C55E"/>
      </right>
      <top style="thin">
        <color auto="1"/>
      </top>
      <bottom style="medium">
        <color rgb="FF22C55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22C55E"/>
      </bottom>
      <diagonal/>
    </border>
    <border>
      <left style="medium">
        <color rgb="FF22C55E"/>
      </left>
      <right style="thin">
        <color auto="1"/>
      </right>
      <top style="thin">
        <color auto="1"/>
      </top>
      <bottom style="medium">
        <color rgb="FF22C55E"/>
      </bottom>
      <diagonal/>
    </border>
    <border>
      <left style="thin">
        <color auto="1"/>
      </left>
      <right style="medium">
        <color rgb="FF22C55E"/>
      </right>
      <top style="thin">
        <color auto="1"/>
      </top>
      <bottom style="thin">
        <color auto="1"/>
      </bottom>
      <diagonal/>
    </border>
    <border>
      <left style="medium">
        <color rgb="FF22C55E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07C10"/>
      </left>
      <right/>
      <top/>
      <bottom style="medium">
        <color rgb="FF22C55E"/>
      </bottom>
      <diagonal/>
    </border>
    <border>
      <left style="thin">
        <color rgb="FF107C10"/>
      </left>
      <right/>
      <top style="medium">
        <color rgb="FF22C55E"/>
      </top>
      <bottom/>
      <diagonal/>
    </border>
    <border>
      <left/>
      <right style="medium">
        <color rgb="FF22C55E"/>
      </right>
      <top style="medium">
        <color rgb="FF22C55E"/>
      </top>
      <bottom style="medium">
        <color rgb="FF22C55E"/>
      </bottom>
      <diagonal/>
    </border>
    <border>
      <left/>
      <right/>
      <top style="medium">
        <color rgb="FF22C55E"/>
      </top>
      <bottom style="medium">
        <color rgb="FF22C55E"/>
      </bottom>
      <diagonal/>
    </border>
    <border>
      <left style="medium">
        <color rgb="FF22C55E"/>
      </left>
      <right/>
      <top style="medium">
        <color rgb="FF22C55E"/>
      </top>
      <bottom style="medium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6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  <xf numFmtId="0" fontId="0" fillId="9" borderId="0" xfId="0" applyFill="1"/>
    <xf numFmtId="0" fontId="0" fillId="9" borderId="0" xfId="0" applyFill="1"/>
    <xf numFmtId="0" fontId="7" fillId="9" borderId="0" xfId="0" applyFont="1" applyFill="1"/>
    <xf numFmtId="0" fontId="0" fillId="9" borderId="3" xfId="0" applyFill="1" applyBorder="1"/>
    <xf numFmtId="165" fontId="0" fillId="9" borderId="3" xfId="0" applyNumberFormat="1" applyFill="1" applyBorder="1"/>
    <xf numFmtId="0" fontId="9" fillId="9" borderId="3" xfId="0" applyFont="1" applyFill="1" applyBorder="1" applyAlignment="1">
      <alignment horizontal="center"/>
    </xf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8" fillId="9" borderId="11" xfId="0" applyFont="1" applyFill="1" applyBorder="1"/>
    <xf numFmtId="164" fontId="3" fillId="9" borderId="12" xfId="0" applyNumberFormat="1" applyFont="1" applyFill="1" applyBorder="1"/>
    <xf numFmtId="0" fontId="3" fillId="9" borderId="13" xfId="0" applyFont="1" applyFill="1" applyBorder="1"/>
    <xf numFmtId="0" fontId="3" fillId="9" borderId="14" xfId="0" applyFont="1" applyFill="1" applyBorder="1"/>
    <xf numFmtId="165" fontId="3" fillId="9" borderId="12" xfId="0" applyNumberFormat="1" applyFont="1" applyFill="1" applyBorder="1"/>
    <xf numFmtId="164" fontId="0" fillId="9" borderId="15" xfId="0" applyNumberFormat="1" applyFill="1" applyBorder="1"/>
    <xf numFmtId="0" fontId="0" fillId="9" borderId="16" xfId="0" applyFill="1" applyBorder="1"/>
    <xf numFmtId="165" fontId="0" fillId="9" borderId="15" xfId="0" applyNumberFormat="1" applyFill="1" applyBorder="1"/>
    <xf numFmtId="0" fontId="9" fillId="9" borderId="15" xfId="0" applyFont="1" applyFill="1" applyBorder="1" applyAlignment="1">
      <alignment horizontal="center"/>
    </xf>
    <xf numFmtId="0" fontId="9" fillId="9" borderId="16" xfId="0" applyFont="1" applyFill="1" applyBorder="1" applyAlignment="1">
      <alignment horizontal="center"/>
    </xf>
    <xf numFmtId="0" fontId="0" fillId="9" borderId="9" xfId="0" applyFill="1" applyBorder="1"/>
    <xf numFmtId="0" fontId="0" fillId="9" borderId="10" xfId="0" applyFill="1" applyBorder="1"/>
    <xf numFmtId="0" fontId="8" fillId="9" borderId="11" xfId="0" applyFont="1" applyFill="1" applyBorder="1"/>
    <xf numFmtId="165" fontId="3" fillId="9" borderId="13" xfId="0" applyNumberFormat="1" applyFont="1" applyFill="1" applyBorder="1"/>
    <xf numFmtId="0" fontId="0" fillId="10" borderId="4" xfId="0" applyFill="1" applyBorder="1"/>
    <xf numFmtId="165" fontId="10" fillId="10" borderId="17" xfId="0" applyNumberFormat="1" applyFont="1" applyFill="1" applyBorder="1" applyAlignment="1">
      <alignment horizontal="center"/>
    </xf>
    <xf numFmtId="0" fontId="0" fillId="10" borderId="5" xfId="0" applyFill="1" applyBorder="1"/>
    <xf numFmtId="164" fontId="10" fillId="10" borderId="17" xfId="0" applyNumberFormat="1" applyFont="1" applyFill="1" applyBorder="1" applyAlignment="1">
      <alignment horizontal="center"/>
    </xf>
    <xf numFmtId="166" fontId="10" fillId="10" borderId="17" xfId="0" applyNumberFormat="1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9" fillId="11" borderId="9" xfId="0" applyFont="1" applyFill="1" applyBorder="1" applyAlignment="1">
      <alignment horizontal="center"/>
    </xf>
    <xf numFmtId="0" fontId="9" fillId="11" borderId="18" xfId="0" applyFont="1" applyFill="1" applyBorder="1" applyAlignment="1">
      <alignment horizontal="center"/>
    </xf>
    <xf numFmtId="0" fontId="9" fillId="11" borderId="10" xfId="0" applyFont="1" applyFill="1" applyBorder="1" applyAlignment="1">
      <alignment horizontal="center"/>
    </xf>
    <xf numFmtId="0" fontId="0" fillId="11" borderId="10" xfId="0" applyFill="1" applyBorder="1"/>
    <xf numFmtId="0" fontId="9" fillId="11" borderId="11" xfId="0" applyFont="1" applyFill="1" applyBorder="1" applyAlignment="1">
      <alignment horizontal="center"/>
    </xf>
    <xf numFmtId="0" fontId="0" fillId="9" borderId="19" xfId="0" applyFill="1" applyBorder="1"/>
    <xf numFmtId="0" fontId="0" fillId="9" borderId="20" xfId="0" applyFill="1" applyBorder="1"/>
    <xf numFmtId="0" fontId="11" fillId="9" borderId="21" xfId="0" applyFont="1" applyFill="1" applyBorder="1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💰 Receita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E5-4F30-8C4D-7C1714140D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E5-4F30-8C4D-7C1714140D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E5-4F30-8C4D-7C1714140D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'D̳ashboard (3)'!$B$10:$B$12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'D̳ashboard (3)'!$C$10:$C$12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E5-4F30-8C4D-7C1714140D6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9E5-4F30-8C4D-7C1714140D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9E5-4F30-8C4D-7C1714140D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9E5-4F30-8C4D-7C1714140D6B}"/>
              </c:ext>
            </c:extLst>
          </c:dPt>
          <c:cat>
            <c:strRef>
              <c:f>'D̳ashboard (3)'!$B$10:$B$12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'D̳ashboard (3)'!$D$10:$D$12</c:f>
              <c:numCache>
                <c:formatCode>\R"R$"\ 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9E5-4F30-8C4D-7C1714140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👥 Assinantes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'D̳ashboard (3)'!$G$10:$G$12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'D̳ashboard (3)'!$H$10:$H$12</c:f>
              <c:numCache>
                <c:formatCode>General</c:formatCode>
                <c:ptCount val="3"/>
                <c:pt idx="0">
                  <c:v>139</c:v>
                </c:pt>
                <c:pt idx="1">
                  <c:v>85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5-4D56-8EB5-07292B70C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580559"/>
        <c:axId val="1290581999"/>
      </c:barChart>
      <c:catAx>
        <c:axId val="129058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81999"/>
        <c:crosses val="autoZero"/>
        <c:auto val="1"/>
        <c:lblAlgn val="ctr"/>
        <c:lblOffset val="100"/>
        <c:noMultiLvlLbl val="0"/>
      </c:catAx>
      <c:valAx>
        <c:axId val="129058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8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🎮 Assinantes Season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'D̳ashboard (3)'!$B$18:$B$19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'D̳ashboard (3)'!$C$18:$C$19</c:f>
              <c:numCache>
                <c:formatCode>General</c:formatCode>
                <c:ptCount val="2"/>
                <c:pt idx="0">
                  <c:v>98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6-4AEA-B9C7-0086204BA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0578639"/>
        <c:axId val="1290584879"/>
      </c:barChart>
      <c:catAx>
        <c:axId val="129057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84879"/>
        <c:crosses val="autoZero"/>
        <c:auto val="1"/>
        <c:lblAlgn val="ctr"/>
        <c:lblOffset val="100"/>
        <c:noMultiLvlLbl val="0"/>
      </c:catAx>
      <c:valAx>
        <c:axId val="129058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7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🔄 Taxa de Auto 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99-48B9-ACC7-704C336633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99-48B9-ACC7-704C336633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'D̳ashboard (3)'!$G$18:$G$19</c:f>
              <c:strCache>
                <c:ptCount val="2"/>
                <c:pt idx="0">
                  <c:v>Ativo (Yes)</c:v>
                </c:pt>
                <c:pt idx="1">
                  <c:v>Inativo (No)</c:v>
                </c:pt>
              </c:strCache>
            </c:strRef>
          </c:cat>
          <c:val>
            <c:numRef>
              <c:f>'D̳ashboard (3)'!$H$18:$H$19</c:f>
              <c:numCache>
                <c:formatCode>General</c:formatCode>
                <c:ptCount val="2"/>
                <c:pt idx="0">
                  <c:v>148</c:v>
                </c:pt>
                <c:pt idx="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99-48B9-ACC7-704C33663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💰 Receita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1F-467B-83D2-ABBB2C0D0F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1F-467B-83D2-ABBB2C0D0F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1F-467B-83D2-ABBB2C0D0F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'D̳ashboard (2)'!$B$10:$B$12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'D̳ashboard (2)'!$C$10:$C$12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1F-467B-83D2-ABBB2C0D0FF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91F-467B-83D2-ABBB2C0D0F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91F-467B-83D2-ABBB2C0D0F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91F-467B-83D2-ABBB2C0D0FF2}"/>
              </c:ext>
            </c:extLst>
          </c:dPt>
          <c:cat>
            <c:strRef>
              <c:f>'D̳ashboard (2)'!$B$10:$B$12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'D̳ashboard (2)'!$D$10:$D$12</c:f>
              <c:numCache>
                <c:formatCode>\R"R$"\ 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91F-467B-83D2-ABBB2C0D0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👥 Assinantes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'D̳ashboard (2)'!$G$10:$G$12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'D̳ashboard (2)'!$H$10:$H$12</c:f>
              <c:numCache>
                <c:formatCode>General</c:formatCode>
                <c:ptCount val="3"/>
                <c:pt idx="0">
                  <c:v>139</c:v>
                </c:pt>
                <c:pt idx="1">
                  <c:v>85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6-4C81-BD74-56DF1FD94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580559"/>
        <c:axId val="1290581999"/>
      </c:barChart>
      <c:catAx>
        <c:axId val="129058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81999"/>
        <c:crosses val="autoZero"/>
        <c:auto val="1"/>
        <c:lblAlgn val="ctr"/>
        <c:lblOffset val="100"/>
        <c:noMultiLvlLbl val="0"/>
      </c:catAx>
      <c:valAx>
        <c:axId val="129058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8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🎮 Assinantes Season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'D̳ashboard (2)'!$B$18:$B$19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'D̳ashboard (2)'!$C$18:$C$19</c:f>
              <c:numCache>
                <c:formatCode>General</c:formatCode>
                <c:ptCount val="2"/>
                <c:pt idx="0">
                  <c:v>98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2-4DBE-A621-63DDCC8F5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0578639"/>
        <c:axId val="1290584879"/>
      </c:barChart>
      <c:catAx>
        <c:axId val="129057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84879"/>
        <c:crosses val="autoZero"/>
        <c:auto val="1"/>
        <c:lblAlgn val="ctr"/>
        <c:lblOffset val="100"/>
        <c:noMultiLvlLbl val="0"/>
      </c:catAx>
      <c:valAx>
        <c:axId val="129058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7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🔄 Taxa de Auto 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31-4747-9BE4-185E5B1034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31-4747-9BE4-185E5B1034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'D̳ashboard (2)'!$G$18:$G$19</c:f>
              <c:strCache>
                <c:ptCount val="2"/>
                <c:pt idx="0">
                  <c:v>Ativo (Yes)</c:v>
                </c:pt>
                <c:pt idx="1">
                  <c:v>Inativo (No)</c:v>
                </c:pt>
              </c:strCache>
            </c:strRef>
          </c:cat>
          <c:val>
            <c:numRef>
              <c:f>'D̳ashboard (2)'!$H$18:$H$19</c:f>
              <c:numCache>
                <c:formatCode>General</c:formatCode>
                <c:ptCount val="2"/>
                <c:pt idx="0">
                  <c:v>148</c:v>
                </c:pt>
                <c:pt idx="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31-4747-9BE4-185E5B103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💰 Receita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48-4DBE-BAC7-1A48601AD3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48-4DBE-BAC7-1A48601AD3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8-4DBE-BAC7-1A48601AD3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'D̳ashboard (4)'!$B$10:$B$12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'D̳ashboard (4)'!$C$10:$C$12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48-4DBE-BAC7-1A48601AD3B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B48-4DBE-BAC7-1A48601AD3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B48-4DBE-BAC7-1A48601AD3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B48-4DBE-BAC7-1A48601AD3BF}"/>
              </c:ext>
            </c:extLst>
          </c:dPt>
          <c:cat>
            <c:strRef>
              <c:f>'D̳ashboard (4)'!$B$10:$B$12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'D̳ashboard (4)'!$D$10:$D$12</c:f>
              <c:numCache>
                <c:formatCode>\R"R$"\ 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48-4DBE-BAC7-1A48601AD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👥 Assinantes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'D̳ashboard (4)'!$G$10:$G$12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'D̳ashboard (4)'!$H$10:$H$12</c:f>
              <c:numCache>
                <c:formatCode>General</c:formatCode>
                <c:ptCount val="3"/>
                <c:pt idx="0">
                  <c:v>139</c:v>
                </c:pt>
                <c:pt idx="1">
                  <c:v>85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3-4024-9140-18E217611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580559"/>
        <c:axId val="1290581999"/>
      </c:barChart>
      <c:catAx>
        <c:axId val="129058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81999"/>
        <c:crosses val="autoZero"/>
        <c:auto val="1"/>
        <c:lblAlgn val="ctr"/>
        <c:lblOffset val="100"/>
        <c:noMultiLvlLbl val="0"/>
      </c:catAx>
      <c:valAx>
        <c:axId val="129058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8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🎮 Assinantes Season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'D̳ashboard (4)'!$B$18:$B$19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'D̳ashboard (4)'!$C$18:$C$19</c:f>
              <c:numCache>
                <c:formatCode>General</c:formatCode>
                <c:ptCount val="2"/>
                <c:pt idx="0">
                  <c:v>98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1-4201-8E5A-553ED3351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0578639"/>
        <c:axId val="1290584879"/>
      </c:barChart>
      <c:catAx>
        <c:axId val="129057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84879"/>
        <c:crosses val="autoZero"/>
        <c:auto val="1"/>
        <c:lblAlgn val="ctr"/>
        <c:lblOffset val="100"/>
        <c:noMultiLvlLbl val="0"/>
      </c:catAx>
      <c:valAx>
        <c:axId val="129058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57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🔄 Taxa de Auto 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8-4612-B1FD-6E46D6ED7B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8-4612-B1FD-6E46D6ED7B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'D̳ashboard (4)'!$G$18:$G$19</c:f>
              <c:strCache>
                <c:ptCount val="2"/>
                <c:pt idx="0">
                  <c:v>Ativo (Yes)</c:v>
                </c:pt>
                <c:pt idx="1">
                  <c:v>Inativo (No)</c:v>
                </c:pt>
              </c:strCache>
            </c:strRef>
          </c:cat>
          <c:val>
            <c:numRef>
              <c:f>'D̳ashboard (4)'!$H$18:$H$19</c:f>
              <c:numCache>
                <c:formatCode>General</c:formatCode>
                <c:ptCount val="2"/>
                <c:pt idx="0">
                  <c:v>148</c:v>
                </c:pt>
                <c:pt idx="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28-4612-B1FD-6E46D6ED7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4DD99BB-3D2A-4EE2-A7A6-5915789A9C98}" type="TxLink">
              <a:rPr lang="en-US" sz="1100" b="0" i="0" u="none" strike="noStrike" kern="1200">
                <a:solidFill>
                  <a:srgbClr val="000000"/>
                </a:solidFill>
                <a:latin typeface="Aptos Narrow"/>
              </a:rPr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5</xdr:col>
      <xdr:colOff>0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B05D23-A53D-4C1A-80EA-0B8493601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1F4E38-A725-4C09-8D34-36E896B80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5</xdr:col>
      <xdr:colOff>0</xdr:colOff>
      <xdr:row>50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DB7D4A-23F8-4288-BCD0-2CCBF630B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39</xdr:row>
      <xdr:rowOff>0</xdr:rowOff>
    </xdr:from>
    <xdr:to>
      <xdr:col>10</xdr:col>
      <xdr:colOff>0</xdr:colOff>
      <xdr:row>50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E4612C-7908-4A77-BEBF-BCE1A4E93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5</xdr:col>
      <xdr:colOff>0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A4C5EF-FF64-4A7F-9A66-4BA86EC1A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D03174-8B9A-4DF1-9FD9-BD230689A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5</xdr:col>
      <xdr:colOff>0</xdr:colOff>
      <xdr:row>50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280D5E-BC50-4973-A027-251E6633B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39</xdr:row>
      <xdr:rowOff>0</xdr:rowOff>
    </xdr:from>
    <xdr:to>
      <xdr:col>10</xdr:col>
      <xdr:colOff>0</xdr:colOff>
      <xdr:row>50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A642B1-A3CE-4BA8-9393-6DE392519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5</xdr:col>
      <xdr:colOff>0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A68FCF-6FDE-4613-B46B-7BB8FE0D7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84C05E-1D18-4B23-8A2B-ACC5AA8F2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5</xdr:col>
      <xdr:colOff>0</xdr:colOff>
      <xdr:row>50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AE53A5-3C0C-442B-BD07-7E31766CD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39</xdr:row>
      <xdr:rowOff>0</xdr:rowOff>
    </xdr:from>
    <xdr:to>
      <xdr:col>10</xdr:col>
      <xdr:colOff>0</xdr:colOff>
      <xdr:row>50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FE54E16-0E95-4DD7-9125-64B6470E6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conceicao\Downloads\805d54f9-6d53-4246-bed7-4aa2da615923.xlsx" TargetMode="External"/><Relationship Id="rId1" Type="http://schemas.openxmlformats.org/officeDocument/2006/relationships/externalLinkPath" Target="805d54f9-6d53-4246-bed7-4aa2da6159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̳ssets"/>
      <sheetName val="B̳ases"/>
      <sheetName val="C̳álculos"/>
      <sheetName val="D̳ashboard"/>
    </sheetNames>
    <sheetDataSet>
      <sheetData sheetId="0"/>
      <sheetData sheetId="1"/>
      <sheetData sheetId="2">
        <row r="3">
          <cell r="B3">
            <v>295</v>
          </cell>
        </row>
        <row r="4">
          <cell r="B4">
            <v>7633</v>
          </cell>
        </row>
        <row r="5">
          <cell r="B5">
            <v>25.874576271186442</v>
          </cell>
        </row>
        <row r="6">
          <cell r="B6">
            <v>148</v>
          </cell>
        </row>
        <row r="7">
          <cell r="B7">
            <v>0.50169491525423726</v>
          </cell>
        </row>
        <row r="8">
          <cell r="B8">
            <v>2122</v>
          </cell>
        </row>
        <row r="14">
          <cell r="A14" t="str">
            <v>Core</v>
          </cell>
          <cell r="B14">
            <v>101</v>
          </cell>
          <cell r="C14">
            <v>444</v>
          </cell>
          <cell r="D14">
            <v>5.816847897288091E-2</v>
          </cell>
        </row>
        <row r="15">
          <cell r="A15" t="str">
            <v>Standard</v>
          </cell>
          <cell r="B15">
            <v>96</v>
          </cell>
          <cell r="C15">
            <v>1801</v>
          </cell>
          <cell r="D15">
            <v>0.23594916808594263</v>
          </cell>
        </row>
        <row r="16">
          <cell r="A16" t="str">
            <v>Ultimate</v>
          </cell>
          <cell r="B16">
            <v>98</v>
          </cell>
          <cell r="C16">
            <v>5388</v>
          </cell>
          <cell r="D16">
            <v>0.70588235294117652</v>
          </cell>
        </row>
        <row r="22">
          <cell r="A22" t="str">
            <v>Monthly</v>
          </cell>
          <cell r="B22">
            <v>139</v>
          </cell>
          <cell r="C22">
            <v>3571</v>
          </cell>
          <cell r="D22">
            <v>0.46783702345080569</v>
          </cell>
        </row>
        <row r="23">
          <cell r="A23" t="str">
            <v>Quarterly</v>
          </cell>
          <cell r="B23">
            <v>85</v>
          </cell>
          <cell r="C23">
            <v>2308</v>
          </cell>
          <cell r="D23">
            <v>0.30237128258875934</v>
          </cell>
        </row>
        <row r="24">
          <cell r="A24" t="str">
            <v>Annual</v>
          </cell>
          <cell r="B24">
            <v>71</v>
          </cell>
          <cell r="C24">
            <v>1754</v>
          </cell>
          <cell r="D24">
            <v>0.22979169396043495</v>
          </cell>
        </row>
        <row r="30">
          <cell r="A30" t="str">
            <v>EA Play</v>
          </cell>
          <cell r="B30">
            <v>98</v>
          </cell>
          <cell r="C30">
            <v>2940</v>
          </cell>
        </row>
        <row r="31">
          <cell r="A31" t="str">
            <v>Minecraft</v>
          </cell>
          <cell r="B31">
            <v>194</v>
          </cell>
          <cell r="C31">
            <v>3880</v>
          </cell>
        </row>
      </sheetData>
      <sheetData sheetId="3">
        <row r="10">
          <cell r="B10" t="str">
            <v>Core</v>
          </cell>
          <cell r="C10">
            <v>101</v>
          </cell>
          <cell r="D10">
            <v>444</v>
          </cell>
          <cell r="G10" t="str">
            <v>Monthly</v>
          </cell>
          <cell r="H10">
            <v>139</v>
          </cell>
        </row>
        <row r="11">
          <cell r="B11" t="str">
            <v>Standard</v>
          </cell>
          <cell r="C11">
            <v>96</v>
          </cell>
          <cell r="D11">
            <v>1801</v>
          </cell>
          <cell r="G11" t="str">
            <v>Quarterly</v>
          </cell>
          <cell r="H11">
            <v>85</v>
          </cell>
        </row>
        <row r="12">
          <cell r="B12" t="str">
            <v>Ultimate</v>
          </cell>
          <cell r="C12">
            <v>98</v>
          </cell>
          <cell r="D12">
            <v>5388</v>
          </cell>
          <cell r="G12" t="str">
            <v>Annual</v>
          </cell>
          <cell r="H12">
            <v>71</v>
          </cell>
        </row>
        <row r="18">
          <cell r="B18" t="str">
            <v>EA Play</v>
          </cell>
          <cell r="C18">
            <v>98</v>
          </cell>
          <cell r="G18" t="str">
            <v>Ativo (Yes)</v>
          </cell>
          <cell r="H18">
            <v>148</v>
          </cell>
        </row>
        <row r="19">
          <cell r="B19" t="str">
            <v>Minecraft</v>
          </cell>
          <cell r="C19">
            <v>194</v>
          </cell>
          <cell r="G19" t="str">
            <v>Inativo (No)</v>
          </cell>
          <cell r="H19">
            <v>147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M42" sqref="M42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24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217</v>
      </c>
    </row>
    <row r="13" spans="2:6" x14ac:dyDescent="0.3">
      <c r="B13" s="14" t="s">
        <v>19</v>
      </c>
      <c r="C13" s="13">
        <v>1537</v>
      </c>
    </row>
    <row r="14" spans="2:6" x14ac:dyDescent="0.3">
      <c r="B14" s="14" t="s">
        <v>310</v>
      </c>
      <c r="C14" s="13">
        <v>1754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24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20">
        <v>0</v>
      </c>
    </row>
    <row r="23" spans="2:5" x14ac:dyDescent="0.3">
      <c r="B23" s="14" t="s">
        <v>26</v>
      </c>
      <c r="C23" s="20">
        <v>0</v>
      </c>
    </row>
    <row r="24" spans="2:5" x14ac:dyDescent="0.3">
      <c r="B24" s="14" t="s">
        <v>18</v>
      </c>
      <c r="C24" s="20">
        <v>600</v>
      </c>
    </row>
    <row r="25" spans="2:5" x14ac:dyDescent="0.3">
      <c r="B25" s="14" t="s">
        <v>310</v>
      </c>
      <c r="C25" s="20">
        <v>600</v>
      </c>
      <c r="E25" s="16">
        <f>GETPIVOTDATA("EA Play Season Pass
Price",$B$21)</f>
        <v>600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24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540</v>
      </c>
    </row>
    <row r="35" spans="2:5" x14ac:dyDescent="0.3">
      <c r="B35" s="14" t="s">
        <v>18</v>
      </c>
      <c r="C35" s="13">
        <v>400</v>
      </c>
    </row>
    <row r="36" spans="2:5" x14ac:dyDescent="0.3">
      <c r="B36" s="14" t="s">
        <v>310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opLeftCell="A28" zoomScaleNormal="100" workbookViewId="0">
      <selection activeCell="F47" sqref="F47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1416-CB98-4700-9FAE-6FD8B520D9D4}">
  <dimension ref="A1:L60"/>
  <sheetViews>
    <sheetView showGridLines="0" zoomScale="80" zoomScaleNormal="80" workbookViewId="0">
      <pane ySplit="3" topLeftCell="A4" activePane="bottomLeft" state="frozen"/>
      <selection pane="bottomLeft" activeCell="E60" sqref="E60"/>
    </sheetView>
  </sheetViews>
  <sheetFormatPr defaultRowHeight="14.4" x14ac:dyDescent="0.3"/>
  <cols>
    <col min="1" max="1" width="3.6640625" customWidth="1"/>
    <col min="2" max="11" width="15.77734375" customWidth="1"/>
    <col min="12" max="12" width="6.5546875" customWidth="1"/>
  </cols>
  <sheetData>
    <row r="1" spans="1:12" ht="15" thickBot="1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39" customHeight="1" thickBot="1" x14ac:dyDescent="0.65">
      <c r="A2" s="21"/>
      <c r="B2" s="63" t="s">
        <v>345</v>
      </c>
      <c r="C2" s="62"/>
      <c r="D2" s="62"/>
      <c r="E2" s="62"/>
      <c r="F2" s="62"/>
      <c r="G2" s="62"/>
      <c r="H2" s="62"/>
      <c r="I2" s="62"/>
      <c r="J2" s="62"/>
      <c r="K2" s="61"/>
      <c r="L2" s="21"/>
    </row>
    <row r="3" spans="1:12" ht="8.25" customHeight="1" thickBo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25.05" customHeight="1" x14ac:dyDescent="0.3">
      <c r="A4" s="21"/>
      <c r="B4" s="60" t="s">
        <v>344</v>
      </c>
      <c r="C4" s="59"/>
      <c r="D4" s="57" t="s">
        <v>343</v>
      </c>
      <c r="E4" s="59"/>
      <c r="F4" s="57" t="s">
        <v>342</v>
      </c>
      <c r="G4" s="59"/>
      <c r="H4" s="57" t="s">
        <v>334</v>
      </c>
      <c r="I4" s="58"/>
      <c r="J4" s="57" t="s">
        <v>341</v>
      </c>
      <c r="K4" s="56"/>
      <c r="L4" s="21"/>
    </row>
    <row r="5" spans="1:12" ht="45" customHeight="1" thickBot="1" x14ac:dyDescent="0.75">
      <c r="A5" s="21"/>
      <c r="B5" s="55">
        <f>[1]C̳álculos!B3</f>
        <v>295</v>
      </c>
      <c r="C5" s="52"/>
      <c r="D5" s="51">
        <f>[1]C̳álculos!B4</f>
        <v>7633</v>
      </c>
      <c r="E5" s="52"/>
      <c r="F5" s="54">
        <f>[1]C̳álculos!B5</f>
        <v>25.874576271186442</v>
      </c>
      <c r="G5" s="52"/>
      <c r="H5" s="53">
        <f>[1]C̳álculos!B7</f>
        <v>0.50169491525423726</v>
      </c>
      <c r="I5" s="52"/>
      <c r="J5" s="51">
        <f>[1]C̳álculos!B8</f>
        <v>2122</v>
      </c>
      <c r="K5" s="50"/>
      <c r="L5" s="21"/>
    </row>
    <row r="6" spans="1:12" ht="9.75" customHeight="1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ht="33" customHeight="1" thickBot="1" x14ac:dyDescent="0.3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18" x14ac:dyDescent="0.35">
      <c r="A8" s="21"/>
      <c r="B8" s="48" t="s">
        <v>340</v>
      </c>
      <c r="C8" s="47"/>
      <c r="D8" s="47"/>
      <c r="E8" s="46"/>
      <c r="F8" s="21"/>
      <c r="G8" s="48" t="s">
        <v>339</v>
      </c>
      <c r="H8" s="47"/>
      <c r="I8" s="47"/>
      <c r="J8" s="46"/>
      <c r="K8" s="21"/>
      <c r="L8" s="21"/>
    </row>
    <row r="9" spans="1:12" x14ac:dyDescent="0.3">
      <c r="A9" s="21"/>
      <c r="B9" s="45" t="s">
        <v>338</v>
      </c>
      <c r="C9" s="26" t="s">
        <v>332</v>
      </c>
      <c r="D9" s="26" t="s">
        <v>331</v>
      </c>
      <c r="E9" s="44" t="s">
        <v>336</v>
      </c>
      <c r="F9" s="21"/>
      <c r="G9" s="45" t="s">
        <v>337</v>
      </c>
      <c r="H9" s="26" t="s">
        <v>332</v>
      </c>
      <c r="I9" s="26" t="s">
        <v>331</v>
      </c>
      <c r="J9" s="44" t="s">
        <v>336</v>
      </c>
      <c r="K9" s="21"/>
      <c r="L9" s="21"/>
    </row>
    <row r="10" spans="1:12" x14ac:dyDescent="0.3">
      <c r="A10" s="21"/>
      <c r="B10" s="42" t="str">
        <f>[1]C̳álculos!A14</f>
        <v>Core</v>
      </c>
      <c r="C10" s="24">
        <f>[1]C̳álculos!B14</f>
        <v>101</v>
      </c>
      <c r="D10" s="25">
        <f>[1]C̳álculos!C14</f>
        <v>444</v>
      </c>
      <c r="E10" s="41">
        <f>[1]C̳álculos!D14</f>
        <v>5.816847897288091E-2</v>
      </c>
      <c r="F10" s="21"/>
      <c r="G10" s="42" t="str">
        <f>[1]C̳álculos!A22</f>
        <v>Monthly</v>
      </c>
      <c r="H10" s="24">
        <f>[1]C̳álculos!B22</f>
        <v>139</v>
      </c>
      <c r="I10" s="25">
        <f>[1]C̳álculos!C22</f>
        <v>3571</v>
      </c>
      <c r="J10" s="41">
        <f>[1]C̳álculos!D22</f>
        <v>0.46783702345080569</v>
      </c>
      <c r="K10" s="21"/>
      <c r="L10" s="21"/>
    </row>
    <row r="11" spans="1:12" x14ac:dyDescent="0.3">
      <c r="A11" s="21"/>
      <c r="B11" s="42" t="str">
        <f>[1]C̳álculos!A15</f>
        <v>Standard</v>
      </c>
      <c r="C11" s="24">
        <f>[1]C̳álculos!B15</f>
        <v>96</v>
      </c>
      <c r="D11" s="25">
        <f>[1]C̳álculos!C15</f>
        <v>1801</v>
      </c>
      <c r="E11" s="41">
        <f>[1]C̳álculos!D15</f>
        <v>0.23594916808594263</v>
      </c>
      <c r="F11" s="21"/>
      <c r="G11" s="42" t="str">
        <f>[1]C̳álculos!A23</f>
        <v>Quarterly</v>
      </c>
      <c r="H11" s="24">
        <f>[1]C̳álculos!B23</f>
        <v>85</v>
      </c>
      <c r="I11" s="25">
        <f>[1]C̳álculos!C23</f>
        <v>2308</v>
      </c>
      <c r="J11" s="41">
        <f>[1]C̳álculos!D23</f>
        <v>0.30237128258875934</v>
      </c>
      <c r="K11" s="21"/>
      <c r="L11" s="21"/>
    </row>
    <row r="12" spans="1:12" x14ac:dyDescent="0.3">
      <c r="A12" s="21"/>
      <c r="B12" s="42" t="str">
        <f>[1]C̳álculos!A16</f>
        <v>Ultimate</v>
      </c>
      <c r="C12" s="24">
        <f>[1]C̳álculos!B16</f>
        <v>98</v>
      </c>
      <c r="D12" s="25">
        <f>[1]C̳álculos!C16</f>
        <v>5388</v>
      </c>
      <c r="E12" s="41">
        <f>[1]C̳álculos!D16</f>
        <v>0.70588235294117652</v>
      </c>
      <c r="F12" s="21"/>
      <c r="G12" s="42" t="str">
        <f>[1]C̳álculos!A24</f>
        <v>Annual</v>
      </c>
      <c r="H12" s="24">
        <f>[1]C̳álculos!B24</f>
        <v>71</v>
      </c>
      <c r="I12" s="25">
        <f>[1]C̳álculos!C24</f>
        <v>1754</v>
      </c>
      <c r="J12" s="41">
        <f>[1]C̳álculos!D24</f>
        <v>0.22979169396043495</v>
      </c>
      <c r="K12" s="21"/>
      <c r="L12" s="21"/>
    </row>
    <row r="13" spans="1:12" ht="15" thickBot="1" x14ac:dyDescent="0.35">
      <c r="A13" s="21"/>
      <c r="B13" s="39" t="s">
        <v>325</v>
      </c>
      <c r="C13" s="38">
        <f>SUM(C10:C12)</f>
        <v>295</v>
      </c>
      <c r="D13" s="49">
        <f>SUM(D10:D12)</f>
        <v>7633</v>
      </c>
      <c r="E13" s="37">
        <f>SUM(E10:E12)</f>
        <v>1</v>
      </c>
      <c r="F13" s="21"/>
      <c r="G13" s="39" t="s">
        <v>325</v>
      </c>
      <c r="H13" s="38">
        <f>SUM(H10:H12)</f>
        <v>295</v>
      </c>
      <c r="I13" s="49">
        <f>SUM(I10:I12)</f>
        <v>7633</v>
      </c>
      <c r="J13" s="37">
        <f>SUM(J10:J12)</f>
        <v>1</v>
      </c>
      <c r="K13" s="21"/>
      <c r="L13" s="21"/>
    </row>
    <row r="14" spans="1:12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ht="15" thickBot="1" x14ac:dyDescent="0.3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ht="18" x14ac:dyDescent="0.35">
      <c r="A16" s="21"/>
      <c r="B16" s="48" t="s">
        <v>335</v>
      </c>
      <c r="C16" s="47"/>
      <c r="D16" s="46"/>
      <c r="E16" s="21"/>
      <c r="F16" s="21"/>
      <c r="G16" s="48" t="s">
        <v>334</v>
      </c>
      <c r="H16" s="47"/>
      <c r="I16" s="46"/>
      <c r="J16" s="21"/>
      <c r="K16" s="21"/>
      <c r="L16" s="21"/>
    </row>
    <row r="17" spans="1:12" x14ac:dyDescent="0.3">
      <c r="A17" s="21"/>
      <c r="B17" s="45" t="s">
        <v>333</v>
      </c>
      <c r="C17" s="26" t="s">
        <v>332</v>
      </c>
      <c r="D17" s="44" t="s">
        <v>331</v>
      </c>
      <c r="E17" s="21"/>
      <c r="F17" s="21"/>
      <c r="G17" s="45" t="s">
        <v>330</v>
      </c>
      <c r="H17" s="26" t="s">
        <v>329</v>
      </c>
      <c r="I17" s="44" t="s">
        <v>328</v>
      </c>
      <c r="J17" s="21"/>
      <c r="K17" s="21"/>
      <c r="L17" s="21"/>
    </row>
    <row r="18" spans="1:12" x14ac:dyDescent="0.3">
      <c r="A18" s="21"/>
      <c r="B18" s="42" t="str">
        <f>[1]C̳álculos!A30</f>
        <v>EA Play</v>
      </c>
      <c r="C18" s="24">
        <f>[1]C̳álculos!B30</f>
        <v>98</v>
      </c>
      <c r="D18" s="43">
        <f>[1]C̳álculos!C30</f>
        <v>2940</v>
      </c>
      <c r="E18" s="21"/>
      <c r="F18" s="21"/>
      <c r="G18" s="42" t="s">
        <v>327</v>
      </c>
      <c r="H18" s="24">
        <f>[1]C̳álculos!B6</f>
        <v>148</v>
      </c>
      <c r="I18" s="41">
        <f>H18/[1]C̳álculos!B3</f>
        <v>0.50169491525423726</v>
      </c>
      <c r="J18" s="21"/>
      <c r="K18" s="21"/>
      <c r="L18" s="21"/>
    </row>
    <row r="19" spans="1:12" x14ac:dyDescent="0.3">
      <c r="A19" s="21"/>
      <c r="B19" s="42" t="str">
        <f>[1]C̳álculos!A31</f>
        <v>Minecraft</v>
      </c>
      <c r="C19" s="24">
        <f>[1]C̳álculos!B31</f>
        <v>194</v>
      </c>
      <c r="D19" s="43">
        <f>[1]C̳álculos!C31</f>
        <v>3880</v>
      </c>
      <c r="E19" s="21"/>
      <c r="F19" s="21"/>
      <c r="G19" s="42" t="s">
        <v>326</v>
      </c>
      <c r="H19" s="24">
        <f>[1]C̳álculos!B3-[1]C̳álculos!B6</f>
        <v>147</v>
      </c>
      <c r="I19" s="41">
        <f>H19/[1]C̳álculos!B3</f>
        <v>0.49830508474576274</v>
      </c>
      <c r="J19" s="21"/>
      <c r="K19" s="21"/>
      <c r="L19" s="21"/>
    </row>
    <row r="20" spans="1:12" ht="15" thickBot="1" x14ac:dyDescent="0.35">
      <c r="A20" s="21"/>
      <c r="B20" s="39" t="s">
        <v>325</v>
      </c>
      <c r="C20" s="38">
        <f>SUM(C18:C19)</f>
        <v>292</v>
      </c>
      <c r="D20" s="40">
        <f>SUM(D18:D19)</f>
        <v>6820</v>
      </c>
      <c r="E20" s="21"/>
      <c r="F20" s="21"/>
      <c r="G20" s="39" t="s">
        <v>325</v>
      </c>
      <c r="H20" s="38">
        <f>SUM(H18:H19)</f>
        <v>295</v>
      </c>
      <c r="I20" s="37">
        <f>SUM(I18:I19)</f>
        <v>1</v>
      </c>
      <c r="J20" s="21"/>
      <c r="K20" s="21"/>
      <c r="L20" s="21"/>
    </row>
    <row r="21" spans="1:12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1:12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1:12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1:12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1:12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1:12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1:12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1:12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1:12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1:12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spans="1:12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1:12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1:12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spans="1:12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1:12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 spans="1:12" ht="15" thickBot="1" x14ac:dyDescent="0.3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spans="1:12" ht="18" x14ac:dyDescent="0.35">
      <c r="A52" s="21"/>
      <c r="B52" s="36" t="s">
        <v>324</v>
      </c>
      <c r="C52" s="35"/>
      <c r="D52" s="35"/>
      <c r="E52" s="35"/>
      <c r="F52" s="35"/>
      <c r="G52" s="35"/>
      <c r="H52" s="35"/>
      <c r="I52" s="35"/>
      <c r="J52" s="35"/>
      <c r="K52" s="34"/>
      <c r="L52" s="21"/>
    </row>
    <row r="53" spans="1:12" x14ac:dyDescent="0.3">
      <c r="A53" s="21"/>
      <c r="B53" s="33"/>
      <c r="C53" s="21"/>
      <c r="D53" s="21"/>
      <c r="E53" s="21"/>
      <c r="F53" s="21"/>
      <c r="G53" s="21"/>
      <c r="H53" s="21"/>
      <c r="I53" s="21"/>
      <c r="J53" s="21"/>
      <c r="K53" s="32"/>
      <c r="L53" s="21"/>
    </row>
    <row r="54" spans="1:12" x14ac:dyDescent="0.3">
      <c r="A54" s="21"/>
      <c r="B54" s="31" t="str">
        <f>"📊 O plano com maior receita é o Ultimate, representando "&amp;TEXT([1]C̳álculos!D16,"0.0%")&amp;" do total de receitas."</f>
        <v>📊 O plano com maior receita é o Ultimate, representando 71% do total de receitas.</v>
      </c>
      <c r="C54" s="22"/>
      <c r="D54" s="22"/>
      <c r="E54" s="22"/>
      <c r="F54" s="22"/>
      <c r="G54" s="22"/>
      <c r="H54" s="22"/>
      <c r="I54" s="22"/>
      <c r="J54" s="22"/>
      <c r="K54" s="30"/>
      <c r="L54" s="21"/>
    </row>
    <row r="55" spans="1:12" x14ac:dyDescent="0.3">
      <c r="A55" s="21"/>
      <c r="B55" s="31" t="str">
        <f>"💰 A receita total gerada pelos Season Passes é de "&amp;TEXT(D20,"R$ #,##0")&amp;" ("&amp;TEXT(C18+C19,"0")&amp;" assinantes)."</f>
        <v>💰 A receita total gerada pelos Season Passes é de R$ 6820,0 (292 assinantes).</v>
      </c>
      <c r="C55" s="22"/>
      <c r="D55" s="22"/>
      <c r="E55" s="22"/>
      <c r="F55" s="22"/>
      <c r="G55" s="22"/>
      <c r="H55" s="22"/>
      <c r="I55" s="22"/>
      <c r="J55" s="22"/>
      <c r="K55" s="30"/>
      <c r="L55" s="21"/>
    </row>
    <row r="56" spans="1:12" x14ac:dyDescent="0.3">
      <c r="A56" s="21"/>
      <c r="B56" s="31" t="str">
        <f>"🔄 A taxa de auto renewal é de "&amp;TEXT([1]C̳álculos!B7,"0.0%")&amp;", indicando "&amp;IF([1]C̳álculos!B7&gt;0.5,"boa retenção.","oportunidade de melhoria.")</f>
        <v>🔄 A taxa de auto renewal é de 50%, indicando boa retenção.</v>
      </c>
      <c r="C56" s="22"/>
      <c r="D56" s="22"/>
      <c r="E56" s="22"/>
      <c r="F56" s="22"/>
      <c r="G56" s="22"/>
      <c r="H56" s="22"/>
      <c r="I56" s="22"/>
      <c r="J56" s="22"/>
      <c r="K56" s="30"/>
      <c r="L56" s="21"/>
    </row>
    <row r="57" spans="1:12" ht="15" thickBot="1" x14ac:dyDescent="0.35">
      <c r="A57" s="21"/>
      <c r="B57" s="29" t="str">
        <f>"🎮 "&amp;TEXT(C18,"0")&amp;" assinantes têm EA Play e "&amp;TEXT(C19,"0")&amp;" têm Minecraft Season Pass."</f>
        <v>🎮 98 assinantes têm EA Play e 194 têm Minecraft Season Pass.</v>
      </c>
      <c r="C57" s="28"/>
      <c r="D57" s="28"/>
      <c r="E57" s="28"/>
      <c r="F57" s="28"/>
      <c r="G57" s="28"/>
      <c r="H57" s="28"/>
      <c r="I57" s="28"/>
      <c r="J57" s="28"/>
      <c r="K57" s="27"/>
      <c r="L57" s="21"/>
    </row>
    <row r="58" spans="1:12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 spans="1:12" x14ac:dyDescent="0.3">
      <c r="A59" s="21"/>
      <c r="B59" s="23"/>
      <c r="C59" s="22"/>
      <c r="D59" s="22"/>
      <c r="E59" s="22"/>
      <c r="F59" s="22"/>
      <c r="G59" s="22"/>
      <c r="H59" s="22"/>
      <c r="I59" s="22"/>
      <c r="J59" s="22"/>
      <c r="K59" s="22"/>
      <c r="L59" s="21"/>
    </row>
    <row r="60" spans="1:12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</row>
  </sheetData>
  <mergeCells count="17">
    <mergeCell ref="B54:K54"/>
    <mergeCell ref="B55:K55"/>
    <mergeCell ref="B56:K56"/>
    <mergeCell ref="B57:K57"/>
    <mergeCell ref="B59:K59"/>
    <mergeCell ref="B5:C5"/>
    <mergeCell ref="D5:E5"/>
    <mergeCell ref="F5:G5"/>
    <mergeCell ref="H5:I5"/>
    <mergeCell ref="J5:K5"/>
    <mergeCell ref="B52:K52"/>
    <mergeCell ref="B2:K2"/>
    <mergeCell ref="B4:C4"/>
    <mergeCell ref="D4:E4"/>
    <mergeCell ref="F4:G4"/>
    <mergeCell ref="H4:I4"/>
    <mergeCell ref="J4:K4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4DEA-F586-40C7-9975-801D1D130E9D}">
  <dimension ref="A1:L60"/>
  <sheetViews>
    <sheetView showGridLines="0" zoomScale="80" zoomScaleNormal="80" workbookViewId="0">
      <pane ySplit="3" topLeftCell="A17" activePane="bottomLeft" state="frozen"/>
      <selection pane="bottomLeft" activeCell="E60" sqref="E60"/>
    </sheetView>
  </sheetViews>
  <sheetFormatPr defaultRowHeight="14.4" x14ac:dyDescent="0.3"/>
  <cols>
    <col min="1" max="1" width="3.6640625" customWidth="1"/>
    <col min="2" max="11" width="15.77734375" customWidth="1"/>
    <col min="12" max="12" width="6.5546875" customWidth="1"/>
  </cols>
  <sheetData>
    <row r="1" spans="1:12" ht="15" thickBot="1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39" customHeight="1" thickBot="1" x14ac:dyDescent="0.65">
      <c r="A2" s="21"/>
      <c r="B2" s="63" t="s">
        <v>345</v>
      </c>
      <c r="C2" s="62"/>
      <c r="D2" s="62"/>
      <c r="E2" s="62"/>
      <c r="F2" s="62"/>
      <c r="G2" s="62"/>
      <c r="H2" s="62"/>
      <c r="I2" s="62"/>
      <c r="J2" s="62"/>
      <c r="K2" s="61"/>
      <c r="L2" s="21"/>
    </row>
    <row r="3" spans="1:12" ht="8.25" customHeight="1" thickBo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25.05" customHeight="1" x14ac:dyDescent="0.3">
      <c r="A4" s="21"/>
      <c r="B4" s="60" t="s">
        <v>344</v>
      </c>
      <c r="C4" s="59"/>
      <c r="D4" s="57" t="s">
        <v>343</v>
      </c>
      <c r="E4" s="59"/>
      <c r="F4" s="57" t="s">
        <v>342</v>
      </c>
      <c r="G4" s="59"/>
      <c r="H4" s="57" t="s">
        <v>334</v>
      </c>
      <c r="I4" s="58"/>
      <c r="J4" s="57" t="s">
        <v>341</v>
      </c>
      <c r="K4" s="56"/>
      <c r="L4" s="21"/>
    </row>
    <row r="5" spans="1:12" ht="45" customHeight="1" thickBot="1" x14ac:dyDescent="0.75">
      <c r="A5" s="21"/>
      <c r="B5" s="55">
        <f>[1]C̳álculos!B3</f>
        <v>295</v>
      </c>
      <c r="C5" s="52"/>
      <c r="D5" s="51">
        <f>[1]C̳álculos!B4</f>
        <v>7633</v>
      </c>
      <c r="E5" s="52"/>
      <c r="F5" s="54">
        <f>[1]C̳álculos!B5</f>
        <v>25.874576271186442</v>
      </c>
      <c r="G5" s="52"/>
      <c r="H5" s="53">
        <f>[1]C̳álculos!B7</f>
        <v>0.50169491525423726</v>
      </c>
      <c r="I5" s="52"/>
      <c r="J5" s="51">
        <f>[1]C̳álculos!B8</f>
        <v>2122</v>
      </c>
      <c r="K5" s="50"/>
      <c r="L5" s="21"/>
    </row>
    <row r="6" spans="1:12" ht="9.75" customHeight="1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ht="33" customHeight="1" thickBot="1" x14ac:dyDescent="0.3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18" x14ac:dyDescent="0.35">
      <c r="A8" s="21"/>
      <c r="B8" s="48" t="s">
        <v>340</v>
      </c>
      <c r="C8" s="47"/>
      <c r="D8" s="47"/>
      <c r="E8" s="46"/>
      <c r="F8" s="21"/>
      <c r="G8" s="48" t="s">
        <v>339</v>
      </c>
      <c r="H8" s="47"/>
      <c r="I8" s="47"/>
      <c r="J8" s="46"/>
      <c r="K8" s="21"/>
      <c r="L8" s="21"/>
    </row>
    <row r="9" spans="1:12" x14ac:dyDescent="0.3">
      <c r="A9" s="21"/>
      <c r="B9" s="45" t="s">
        <v>338</v>
      </c>
      <c r="C9" s="26" t="s">
        <v>332</v>
      </c>
      <c r="D9" s="26" t="s">
        <v>331</v>
      </c>
      <c r="E9" s="44" t="s">
        <v>336</v>
      </c>
      <c r="F9" s="21"/>
      <c r="G9" s="45" t="s">
        <v>337</v>
      </c>
      <c r="H9" s="26" t="s">
        <v>332</v>
      </c>
      <c r="I9" s="26" t="s">
        <v>331</v>
      </c>
      <c r="J9" s="44" t="s">
        <v>336</v>
      </c>
      <c r="K9" s="21"/>
      <c r="L9" s="21"/>
    </row>
    <row r="10" spans="1:12" x14ac:dyDescent="0.3">
      <c r="A10" s="21"/>
      <c r="B10" s="42" t="str">
        <f>[1]C̳álculos!A14</f>
        <v>Core</v>
      </c>
      <c r="C10" s="24">
        <f>[1]C̳álculos!B14</f>
        <v>101</v>
      </c>
      <c r="D10" s="25">
        <f>[1]C̳álculos!C14</f>
        <v>444</v>
      </c>
      <c r="E10" s="41">
        <f>[1]C̳álculos!D14</f>
        <v>5.816847897288091E-2</v>
      </c>
      <c r="F10" s="21"/>
      <c r="G10" s="42" t="str">
        <f>[1]C̳álculos!A22</f>
        <v>Monthly</v>
      </c>
      <c r="H10" s="24">
        <f>[1]C̳álculos!B22</f>
        <v>139</v>
      </c>
      <c r="I10" s="25">
        <f>[1]C̳álculos!C22</f>
        <v>3571</v>
      </c>
      <c r="J10" s="41">
        <f>[1]C̳álculos!D22</f>
        <v>0.46783702345080569</v>
      </c>
      <c r="K10" s="21"/>
      <c r="L10" s="21"/>
    </row>
    <row r="11" spans="1:12" x14ac:dyDescent="0.3">
      <c r="A11" s="21"/>
      <c r="B11" s="42" t="str">
        <f>[1]C̳álculos!A15</f>
        <v>Standard</v>
      </c>
      <c r="C11" s="24">
        <f>[1]C̳álculos!B15</f>
        <v>96</v>
      </c>
      <c r="D11" s="25">
        <f>[1]C̳álculos!C15</f>
        <v>1801</v>
      </c>
      <c r="E11" s="41">
        <f>[1]C̳álculos!D15</f>
        <v>0.23594916808594263</v>
      </c>
      <c r="F11" s="21"/>
      <c r="G11" s="42" t="str">
        <f>[1]C̳álculos!A23</f>
        <v>Quarterly</v>
      </c>
      <c r="H11" s="24">
        <f>[1]C̳álculos!B23</f>
        <v>85</v>
      </c>
      <c r="I11" s="25">
        <f>[1]C̳álculos!C23</f>
        <v>2308</v>
      </c>
      <c r="J11" s="41">
        <f>[1]C̳álculos!D23</f>
        <v>0.30237128258875934</v>
      </c>
      <c r="K11" s="21"/>
      <c r="L11" s="21"/>
    </row>
    <row r="12" spans="1:12" x14ac:dyDescent="0.3">
      <c r="A12" s="21"/>
      <c r="B12" s="42" t="str">
        <f>[1]C̳álculos!A16</f>
        <v>Ultimate</v>
      </c>
      <c r="C12" s="24">
        <f>[1]C̳álculos!B16</f>
        <v>98</v>
      </c>
      <c r="D12" s="25">
        <f>[1]C̳álculos!C16</f>
        <v>5388</v>
      </c>
      <c r="E12" s="41">
        <f>[1]C̳álculos!D16</f>
        <v>0.70588235294117652</v>
      </c>
      <c r="F12" s="21"/>
      <c r="G12" s="42" t="str">
        <f>[1]C̳álculos!A24</f>
        <v>Annual</v>
      </c>
      <c r="H12" s="24">
        <f>[1]C̳álculos!B24</f>
        <v>71</v>
      </c>
      <c r="I12" s="25">
        <f>[1]C̳álculos!C24</f>
        <v>1754</v>
      </c>
      <c r="J12" s="41">
        <f>[1]C̳álculos!D24</f>
        <v>0.22979169396043495</v>
      </c>
      <c r="K12" s="21"/>
      <c r="L12" s="21"/>
    </row>
    <row r="13" spans="1:12" ht="15" thickBot="1" x14ac:dyDescent="0.35">
      <c r="A13" s="21"/>
      <c r="B13" s="39" t="s">
        <v>325</v>
      </c>
      <c r="C13" s="38">
        <f>SUM(C10:C12)</f>
        <v>295</v>
      </c>
      <c r="D13" s="49">
        <f>SUM(D10:D12)</f>
        <v>7633</v>
      </c>
      <c r="E13" s="37">
        <f>SUM(E10:E12)</f>
        <v>1</v>
      </c>
      <c r="F13" s="21"/>
      <c r="G13" s="39" t="s">
        <v>325</v>
      </c>
      <c r="H13" s="38">
        <f>SUM(H10:H12)</f>
        <v>295</v>
      </c>
      <c r="I13" s="49">
        <f>SUM(I10:I12)</f>
        <v>7633</v>
      </c>
      <c r="J13" s="37">
        <f>SUM(J10:J12)</f>
        <v>1</v>
      </c>
      <c r="K13" s="21"/>
      <c r="L13" s="21"/>
    </row>
    <row r="14" spans="1:12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ht="15" thickBot="1" x14ac:dyDescent="0.3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ht="18" x14ac:dyDescent="0.35">
      <c r="A16" s="21"/>
      <c r="B16" s="48" t="s">
        <v>335</v>
      </c>
      <c r="C16" s="47"/>
      <c r="D16" s="46"/>
      <c r="E16" s="21"/>
      <c r="F16" s="21"/>
      <c r="G16" s="48" t="s">
        <v>334</v>
      </c>
      <c r="H16" s="47"/>
      <c r="I16" s="46"/>
      <c r="J16" s="21"/>
      <c r="K16" s="21"/>
      <c r="L16" s="21"/>
    </row>
    <row r="17" spans="1:12" x14ac:dyDescent="0.3">
      <c r="A17" s="21"/>
      <c r="B17" s="45" t="s">
        <v>333</v>
      </c>
      <c r="C17" s="26" t="s">
        <v>332</v>
      </c>
      <c r="D17" s="44" t="s">
        <v>331</v>
      </c>
      <c r="E17" s="21"/>
      <c r="F17" s="21"/>
      <c r="G17" s="45" t="s">
        <v>330</v>
      </c>
      <c r="H17" s="26" t="s">
        <v>329</v>
      </c>
      <c r="I17" s="44" t="s">
        <v>328</v>
      </c>
      <c r="J17" s="21"/>
      <c r="K17" s="21"/>
      <c r="L17" s="21"/>
    </row>
    <row r="18" spans="1:12" x14ac:dyDescent="0.3">
      <c r="A18" s="21"/>
      <c r="B18" s="42" t="str">
        <f>[1]C̳álculos!A30</f>
        <v>EA Play</v>
      </c>
      <c r="C18" s="24">
        <f>[1]C̳álculos!B30</f>
        <v>98</v>
      </c>
      <c r="D18" s="43">
        <f>[1]C̳álculos!C30</f>
        <v>2940</v>
      </c>
      <c r="E18" s="21"/>
      <c r="F18" s="21"/>
      <c r="G18" s="42" t="s">
        <v>327</v>
      </c>
      <c r="H18" s="24">
        <f>[1]C̳álculos!B6</f>
        <v>148</v>
      </c>
      <c r="I18" s="41">
        <f>H18/[1]C̳álculos!B3</f>
        <v>0.50169491525423726</v>
      </c>
      <c r="J18" s="21"/>
      <c r="K18" s="21"/>
      <c r="L18" s="21"/>
    </row>
    <row r="19" spans="1:12" x14ac:dyDescent="0.3">
      <c r="A19" s="21"/>
      <c r="B19" s="42" t="str">
        <f>[1]C̳álculos!A31</f>
        <v>Minecraft</v>
      </c>
      <c r="C19" s="24">
        <f>[1]C̳álculos!B31</f>
        <v>194</v>
      </c>
      <c r="D19" s="43">
        <f>[1]C̳álculos!C31</f>
        <v>3880</v>
      </c>
      <c r="E19" s="21"/>
      <c r="F19" s="21"/>
      <c r="G19" s="42" t="s">
        <v>326</v>
      </c>
      <c r="H19" s="24">
        <f>[1]C̳álculos!B3-[1]C̳álculos!B6</f>
        <v>147</v>
      </c>
      <c r="I19" s="41">
        <f>H19/[1]C̳álculos!B3</f>
        <v>0.49830508474576274</v>
      </c>
      <c r="J19" s="21"/>
      <c r="K19" s="21"/>
      <c r="L19" s="21"/>
    </row>
    <row r="20" spans="1:12" ht="15" thickBot="1" x14ac:dyDescent="0.35">
      <c r="A20" s="21"/>
      <c r="B20" s="39" t="s">
        <v>325</v>
      </c>
      <c r="C20" s="38">
        <f>SUM(C18:C19)</f>
        <v>292</v>
      </c>
      <c r="D20" s="40">
        <f>SUM(D18:D19)</f>
        <v>6820</v>
      </c>
      <c r="E20" s="21"/>
      <c r="F20" s="21"/>
      <c r="G20" s="39" t="s">
        <v>325</v>
      </c>
      <c r="H20" s="38">
        <f>SUM(H18:H19)</f>
        <v>295</v>
      </c>
      <c r="I20" s="37">
        <f>SUM(I18:I19)</f>
        <v>1</v>
      </c>
      <c r="J20" s="21"/>
      <c r="K20" s="21"/>
      <c r="L20" s="21"/>
    </row>
    <row r="21" spans="1:12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1:12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1:12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1:12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1:12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1:12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1:12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1:12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1:12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1:12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spans="1:12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1:12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1:12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spans="1:12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1:12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 spans="1:12" ht="15" thickBot="1" x14ac:dyDescent="0.3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spans="1:12" ht="18" x14ac:dyDescent="0.35">
      <c r="A52" s="21"/>
      <c r="B52" s="36" t="s">
        <v>324</v>
      </c>
      <c r="C52" s="35"/>
      <c r="D52" s="35"/>
      <c r="E52" s="35"/>
      <c r="F52" s="35"/>
      <c r="G52" s="35"/>
      <c r="H52" s="35"/>
      <c r="I52" s="35"/>
      <c r="J52" s="35"/>
      <c r="K52" s="34"/>
      <c r="L52" s="21"/>
    </row>
    <row r="53" spans="1:12" x14ac:dyDescent="0.3">
      <c r="A53" s="21"/>
      <c r="B53" s="33"/>
      <c r="C53" s="21"/>
      <c r="D53" s="21"/>
      <c r="E53" s="21"/>
      <c r="F53" s="21"/>
      <c r="G53" s="21"/>
      <c r="H53" s="21"/>
      <c r="I53" s="21"/>
      <c r="J53" s="21"/>
      <c r="K53" s="32"/>
      <c r="L53" s="21"/>
    </row>
    <row r="54" spans="1:12" x14ac:dyDescent="0.3">
      <c r="A54" s="21"/>
      <c r="B54" s="31" t="str">
        <f>"📊 O plano com maior receita é o Ultimate, representando "&amp;TEXT([1]C̳álculos!D16,"0.0%")&amp;" do total de receitas."</f>
        <v>📊 O plano com maior receita é o Ultimate, representando 71% do total de receitas.</v>
      </c>
      <c r="C54" s="22"/>
      <c r="D54" s="22"/>
      <c r="E54" s="22"/>
      <c r="F54" s="22"/>
      <c r="G54" s="22"/>
      <c r="H54" s="22"/>
      <c r="I54" s="22"/>
      <c r="J54" s="22"/>
      <c r="K54" s="30"/>
      <c r="L54" s="21"/>
    </row>
    <row r="55" spans="1:12" x14ac:dyDescent="0.3">
      <c r="A55" s="21"/>
      <c r="B55" s="31" t="str">
        <f>"💰 A receita total gerada pelos Season Passes é de "&amp;TEXT(D20,"R$ #,##0")&amp;" ("&amp;TEXT(C18+C19,"0")&amp;" assinantes)."</f>
        <v>💰 A receita total gerada pelos Season Passes é de R$ 6820,0 (292 assinantes).</v>
      </c>
      <c r="C55" s="22"/>
      <c r="D55" s="22"/>
      <c r="E55" s="22"/>
      <c r="F55" s="22"/>
      <c r="G55" s="22"/>
      <c r="H55" s="22"/>
      <c r="I55" s="22"/>
      <c r="J55" s="22"/>
      <c r="K55" s="30"/>
      <c r="L55" s="21"/>
    </row>
    <row r="56" spans="1:12" x14ac:dyDescent="0.3">
      <c r="A56" s="21"/>
      <c r="B56" s="31" t="str">
        <f>"🔄 A taxa de auto renewal é de "&amp;TEXT([1]C̳álculos!B7,"0.0%")&amp;", indicando "&amp;IF([1]C̳álculos!B7&gt;0.5,"boa retenção.","oportunidade de melhoria.")</f>
        <v>🔄 A taxa de auto renewal é de 50%, indicando boa retenção.</v>
      </c>
      <c r="C56" s="22"/>
      <c r="D56" s="22"/>
      <c r="E56" s="22"/>
      <c r="F56" s="22"/>
      <c r="G56" s="22"/>
      <c r="H56" s="22"/>
      <c r="I56" s="22"/>
      <c r="J56" s="22"/>
      <c r="K56" s="30"/>
      <c r="L56" s="21"/>
    </row>
    <row r="57" spans="1:12" ht="15" thickBot="1" x14ac:dyDescent="0.35">
      <c r="A57" s="21"/>
      <c r="B57" s="29" t="str">
        <f>"🎮 "&amp;TEXT(C18,"0")&amp;" assinantes têm EA Play e "&amp;TEXT(C19,"0")&amp;" têm Minecraft Season Pass."</f>
        <v>🎮 98 assinantes têm EA Play e 194 têm Minecraft Season Pass.</v>
      </c>
      <c r="C57" s="28"/>
      <c r="D57" s="28"/>
      <c r="E57" s="28"/>
      <c r="F57" s="28"/>
      <c r="G57" s="28"/>
      <c r="H57" s="28"/>
      <c r="I57" s="28"/>
      <c r="J57" s="28"/>
      <c r="K57" s="27"/>
      <c r="L57" s="21"/>
    </row>
    <row r="58" spans="1:12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 spans="1:12" x14ac:dyDescent="0.3">
      <c r="A59" s="21"/>
      <c r="B59" s="23"/>
      <c r="C59" s="22"/>
      <c r="D59" s="22"/>
      <c r="E59" s="22"/>
      <c r="F59" s="22"/>
      <c r="G59" s="22"/>
      <c r="H59" s="22"/>
      <c r="I59" s="22"/>
      <c r="J59" s="22"/>
      <c r="K59" s="22"/>
      <c r="L59" s="21"/>
    </row>
    <row r="60" spans="1:12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</row>
  </sheetData>
  <mergeCells count="17">
    <mergeCell ref="B2:K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B59:K59"/>
    <mergeCell ref="J5:K5"/>
    <mergeCell ref="B52:K52"/>
    <mergeCell ref="B54:K54"/>
    <mergeCell ref="B55:K55"/>
    <mergeCell ref="B56:K56"/>
    <mergeCell ref="B57:K57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57DE-716A-420E-893A-705CE0F4CC52}">
  <dimension ref="A1:L60"/>
  <sheetViews>
    <sheetView showGridLines="0" tabSelected="1" zoomScale="80" zoomScaleNormal="80" workbookViewId="0">
      <pane ySplit="3" topLeftCell="A11" activePane="bottomLeft" state="frozen"/>
      <selection pane="bottomLeft" activeCell="J5" sqref="J5:K5"/>
    </sheetView>
  </sheetViews>
  <sheetFormatPr defaultRowHeight="14.4" x14ac:dyDescent="0.3"/>
  <cols>
    <col min="1" max="1" width="3.6640625" customWidth="1"/>
    <col min="2" max="11" width="15.77734375" customWidth="1"/>
    <col min="12" max="12" width="6.5546875" customWidth="1"/>
  </cols>
  <sheetData>
    <row r="1" spans="1:12" ht="15" thickBot="1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39" customHeight="1" thickBot="1" x14ac:dyDescent="0.65">
      <c r="A2" s="21"/>
      <c r="B2" s="63" t="s">
        <v>345</v>
      </c>
      <c r="C2" s="62"/>
      <c r="D2" s="62"/>
      <c r="E2" s="62"/>
      <c r="F2" s="62"/>
      <c r="G2" s="62"/>
      <c r="H2" s="62"/>
      <c r="I2" s="62"/>
      <c r="J2" s="62"/>
      <c r="K2" s="61"/>
      <c r="L2" s="21"/>
    </row>
    <row r="3" spans="1:12" ht="8.25" customHeight="1" thickBo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25.05" customHeight="1" x14ac:dyDescent="0.3">
      <c r="A4" s="21"/>
      <c r="B4" s="60" t="s">
        <v>344</v>
      </c>
      <c r="C4" s="59"/>
      <c r="D4" s="57" t="s">
        <v>343</v>
      </c>
      <c r="E4" s="59"/>
      <c r="F4" s="57" t="s">
        <v>342</v>
      </c>
      <c r="G4" s="59"/>
      <c r="H4" s="57" t="s">
        <v>334</v>
      </c>
      <c r="I4" s="58"/>
      <c r="J4" s="57" t="s">
        <v>341</v>
      </c>
      <c r="K4" s="56"/>
      <c r="L4" s="21"/>
    </row>
    <row r="5" spans="1:12" ht="45" customHeight="1" thickBot="1" x14ac:dyDescent="0.75">
      <c r="A5" s="21"/>
      <c r="B5" s="55">
        <f>[1]C̳álculos!B3</f>
        <v>295</v>
      </c>
      <c r="C5" s="52"/>
      <c r="D5" s="51">
        <f>[1]C̳álculos!B4</f>
        <v>7633</v>
      </c>
      <c r="E5" s="52"/>
      <c r="F5" s="54">
        <f>[1]C̳álculos!B5</f>
        <v>25.874576271186442</v>
      </c>
      <c r="G5" s="52"/>
      <c r="H5" s="53">
        <f>[1]C̳álculos!B7</f>
        <v>0.50169491525423726</v>
      </c>
      <c r="I5" s="52"/>
      <c r="J5" s="51">
        <f>[1]C̳álculos!B8</f>
        <v>2122</v>
      </c>
      <c r="K5" s="50"/>
      <c r="L5" s="21"/>
    </row>
    <row r="6" spans="1:12" ht="9.75" customHeight="1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ht="33" customHeight="1" thickBot="1" x14ac:dyDescent="0.3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18" x14ac:dyDescent="0.35">
      <c r="A8" s="21"/>
      <c r="B8" s="48" t="s">
        <v>340</v>
      </c>
      <c r="C8" s="47"/>
      <c r="D8" s="47"/>
      <c r="E8" s="46"/>
      <c r="F8" s="21"/>
      <c r="G8" s="48" t="s">
        <v>339</v>
      </c>
      <c r="H8" s="47"/>
      <c r="I8" s="47"/>
      <c r="J8" s="46"/>
      <c r="K8" s="21"/>
      <c r="L8" s="21"/>
    </row>
    <row r="9" spans="1:12" x14ac:dyDescent="0.3">
      <c r="A9" s="21"/>
      <c r="B9" s="45" t="s">
        <v>338</v>
      </c>
      <c r="C9" s="26" t="s">
        <v>332</v>
      </c>
      <c r="D9" s="26" t="s">
        <v>331</v>
      </c>
      <c r="E9" s="44" t="s">
        <v>336</v>
      </c>
      <c r="F9" s="21"/>
      <c r="G9" s="45" t="s">
        <v>337</v>
      </c>
      <c r="H9" s="26" t="s">
        <v>332</v>
      </c>
      <c r="I9" s="26" t="s">
        <v>331</v>
      </c>
      <c r="J9" s="44" t="s">
        <v>336</v>
      </c>
      <c r="K9" s="21"/>
      <c r="L9" s="21"/>
    </row>
    <row r="10" spans="1:12" x14ac:dyDescent="0.3">
      <c r="A10" s="21"/>
      <c r="B10" s="42" t="str">
        <f>[1]C̳álculos!A14</f>
        <v>Core</v>
      </c>
      <c r="C10" s="24">
        <f>[1]C̳álculos!B14</f>
        <v>101</v>
      </c>
      <c r="D10" s="25">
        <f>[1]C̳álculos!C14</f>
        <v>444</v>
      </c>
      <c r="E10" s="41">
        <f>[1]C̳álculos!D14</f>
        <v>5.816847897288091E-2</v>
      </c>
      <c r="F10" s="21"/>
      <c r="G10" s="42" t="str">
        <f>[1]C̳álculos!A22</f>
        <v>Monthly</v>
      </c>
      <c r="H10" s="24">
        <f>[1]C̳álculos!B22</f>
        <v>139</v>
      </c>
      <c r="I10" s="25">
        <f>[1]C̳álculos!C22</f>
        <v>3571</v>
      </c>
      <c r="J10" s="41">
        <f>[1]C̳álculos!D22</f>
        <v>0.46783702345080569</v>
      </c>
      <c r="K10" s="21"/>
      <c r="L10" s="21"/>
    </row>
    <row r="11" spans="1:12" x14ac:dyDescent="0.3">
      <c r="A11" s="21"/>
      <c r="B11" s="42" t="str">
        <f>[1]C̳álculos!A15</f>
        <v>Standard</v>
      </c>
      <c r="C11" s="24">
        <f>[1]C̳álculos!B15</f>
        <v>96</v>
      </c>
      <c r="D11" s="25">
        <f>[1]C̳álculos!C15</f>
        <v>1801</v>
      </c>
      <c r="E11" s="41">
        <f>[1]C̳álculos!D15</f>
        <v>0.23594916808594263</v>
      </c>
      <c r="F11" s="21"/>
      <c r="G11" s="42" t="str">
        <f>[1]C̳álculos!A23</f>
        <v>Quarterly</v>
      </c>
      <c r="H11" s="24">
        <f>[1]C̳álculos!B23</f>
        <v>85</v>
      </c>
      <c r="I11" s="25">
        <f>[1]C̳álculos!C23</f>
        <v>2308</v>
      </c>
      <c r="J11" s="41">
        <f>[1]C̳álculos!D23</f>
        <v>0.30237128258875934</v>
      </c>
      <c r="K11" s="21"/>
      <c r="L11" s="21"/>
    </row>
    <row r="12" spans="1:12" x14ac:dyDescent="0.3">
      <c r="A12" s="21"/>
      <c r="B12" s="42" t="str">
        <f>[1]C̳álculos!A16</f>
        <v>Ultimate</v>
      </c>
      <c r="C12" s="24">
        <f>[1]C̳álculos!B16</f>
        <v>98</v>
      </c>
      <c r="D12" s="25">
        <f>[1]C̳álculos!C16</f>
        <v>5388</v>
      </c>
      <c r="E12" s="41">
        <f>[1]C̳álculos!D16</f>
        <v>0.70588235294117652</v>
      </c>
      <c r="F12" s="21"/>
      <c r="G12" s="42" t="str">
        <f>[1]C̳álculos!A24</f>
        <v>Annual</v>
      </c>
      <c r="H12" s="24">
        <f>[1]C̳álculos!B24</f>
        <v>71</v>
      </c>
      <c r="I12" s="25">
        <f>[1]C̳álculos!C24</f>
        <v>1754</v>
      </c>
      <c r="J12" s="41">
        <f>[1]C̳álculos!D24</f>
        <v>0.22979169396043495</v>
      </c>
      <c r="K12" s="21"/>
      <c r="L12" s="21"/>
    </row>
    <row r="13" spans="1:12" ht="15" thickBot="1" x14ac:dyDescent="0.35">
      <c r="A13" s="21"/>
      <c r="B13" s="39" t="s">
        <v>325</v>
      </c>
      <c r="C13" s="38">
        <f>SUM(C10:C12)</f>
        <v>295</v>
      </c>
      <c r="D13" s="49">
        <f>SUM(D10:D12)</f>
        <v>7633</v>
      </c>
      <c r="E13" s="37">
        <f>SUM(E10:E12)</f>
        <v>1</v>
      </c>
      <c r="F13" s="21"/>
      <c r="G13" s="39" t="s">
        <v>325</v>
      </c>
      <c r="H13" s="38">
        <f>SUM(H10:H12)</f>
        <v>295</v>
      </c>
      <c r="I13" s="49">
        <f>SUM(I10:I12)</f>
        <v>7633</v>
      </c>
      <c r="J13" s="37">
        <f>SUM(J10:J12)</f>
        <v>1</v>
      </c>
      <c r="K13" s="21"/>
      <c r="L13" s="21"/>
    </row>
    <row r="14" spans="1:12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ht="15" thickBot="1" x14ac:dyDescent="0.3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ht="18" x14ac:dyDescent="0.35">
      <c r="A16" s="21"/>
      <c r="B16" s="48" t="s">
        <v>335</v>
      </c>
      <c r="C16" s="47"/>
      <c r="D16" s="46"/>
      <c r="E16" s="21"/>
      <c r="F16" s="21"/>
      <c r="G16" s="48" t="s">
        <v>334</v>
      </c>
      <c r="H16" s="47"/>
      <c r="I16" s="46"/>
      <c r="J16" s="21"/>
      <c r="K16" s="21"/>
      <c r="L16" s="21"/>
    </row>
    <row r="17" spans="1:12" x14ac:dyDescent="0.3">
      <c r="A17" s="21"/>
      <c r="B17" s="45" t="s">
        <v>333</v>
      </c>
      <c r="C17" s="26" t="s">
        <v>332</v>
      </c>
      <c r="D17" s="44" t="s">
        <v>331</v>
      </c>
      <c r="E17" s="21"/>
      <c r="F17" s="21"/>
      <c r="G17" s="45" t="s">
        <v>330</v>
      </c>
      <c r="H17" s="26" t="s">
        <v>329</v>
      </c>
      <c r="I17" s="44" t="s">
        <v>328</v>
      </c>
      <c r="J17" s="21"/>
      <c r="K17" s="21"/>
      <c r="L17" s="21"/>
    </row>
    <row r="18" spans="1:12" x14ac:dyDescent="0.3">
      <c r="A18" s="21"/>
      <c r="B18" s="42" t="str">
        <f>[1]C̳álculos!A30</f>
        <v>EA Play</v>
      </c>
      <c r="C18" s="24">
        <f>[1]C̳álculos!B30</f>
        <v>98</v>
      </c>
      <c r="D18" s="43">
        <f>[1]C̳álculos!C30</f>
        <v>2940</v>
      </c>
      <c r="E18" s="21"/>
      <c r="F18" s="21"/>
      <c r="G18" s="42" t="s">
        <v>327</v>
      </c>
      <c r="H18" s="24">
        <f>[1]C̳álculos!B6</f>
        <v>148</v>
      </c>
      <c r="I18" s="41">
        <f>H18/[1]C̳álculos!B3</f>
        <v>0.50169491525423726</v>
      </c>
      <c r="J18" s="21"/>
      <c r="K18" s="21"/>
      <c r="L18" s="21"/>
    </row>
    <row r="19" spans="1:12" x14ac:dyDescent="0.3">
      <c r="A19" s="21"/>
      <c r="B19" s="42" t="str">
        <f>[1]C̳álculos!A31</f>
        <v>Minecraft</v>
      </c>
      <c r="C19" s="24">
        <f>[1]C̳álculos!B31</f>
        <v>194</v>
      </c>
      <c r="D19" s="43">
        <f>[1]C̳álculos!C31</f>
        <v>3880</v>
      </c>
      <c r="E19" s="21"/>
      <c r="F19" s="21"/>
      <c r="G19" s="42" t="s">
        <v>326</v>
      </c>
      <c r="H19" s="24">
        <f>[1]C̳álculos!B3-[1]C̳álculos!B6</f>
        <v>147</v>
      </c>
      <c r="I19" s="41">
        <f>H19/[1]C̳álculos!B3</f>
        <v>0.49830508474576274</v>
      </c>
      <c r="J19" s="21"/>
      <c r="K19" s="21"/>
      <c r="L19" s="21"/>
    </row>
    <row r="20" spans="1:12" ht="15" thickBot="1" x14ac:dyDescent="0.35">
      <c r="A20" s="21"/>
      <c r="B20" s="39" t="s">
        <v>325</v>
      </c>
      <c r="C20" s="38">
        <f>SUM(C18:C19)</f>
        <v>292</v>
      </c>
      <c r="D20" s="40">
        <f>SUM(D18:D19)</f>
        <v>6820</v>
      </c>
      <c r="E20" s="21"/>
      <c r="F20" s="21"/>
      <c r="G20" s="39" t="s">
        <v>325</v>
      </c>
      <c r="H20" s="38">
        <f>SUM(H18:H19)</f>
        <v>295</v>
      </c>
      <c r="I20" s="37">
        <f>SUM(I18:I19)</f>
        <v>1</v>
      </c>
      <c r="J20" s="21"/>
      <c r="K20" s="21"/>
      <c r="L20" s="21"/>
    </row>
    <row r="21" spans="1:12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1:12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1:12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1:12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1:12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1:12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1:12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1:12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1:12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1:12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spans="1:12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1:12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1:12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spans="1:12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1:12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 spans="1:12" ht="15" thickBot="1" x14ac:dyDescent="0.3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spans="1:12" ht="18" x14ac:dyDescent="0.35">
      <c r="A52" s="21"/>
      <c r="B52" s="36" t="s">
        <v>324</v>
      </c>
      <c r="C52" s="35"/>
      <c r="D52" s="35"/>
      <c r="E52" s="35"/>
      <c r="F52" s="35"/>
      <c r="G52" s="35"/>
      <c r="H52" s="35"/>
      <c r="I52" s="35"/>
      <c r="J52" s="35"/>
      <c r="K52" s="34"/>
      <c r="L52" s="21"/>
    </row>
    <row r="53" spans="1:12" x14ac:dyDescent="0.3">
      <c r="A53" s="21"/>
      <c r="B53" s="33"/>
      <c r="C53" s="21"/>
      <c r="D53" s="21"/>
      <c r="E53" s="21"/>
      <c r="F53" s="21"/>
      <c r="G53" s="21"/>
      <c r="H53" s="21"/>
      <c r="I53" s="21"/>
      <c r="J53" s="21"/>
      <c r="K53" s="32"/>
      <c r="L53" s="21"/>
    </row>
    <row r="54" spans="1:12" x14ac:dyDescent="0.3">
      <c r="A54" s="21"/>
      <c r="B54" s="31" t="str">
        <f>"📊 O plano com maior receita é o Ultimate, representando "&amp;TEXT([1]C̳álculos!D16,"0.0%")&amp;" do total de receitas."</f>
        <v>📊 O plano com maior receita é o Ultimate, representando 71% do total de receitas.</v>
      </c>
      <c r="C54" s="22"/>
      <c r="D54" s="22"/>
      <c r="E54" s="22"/>
      <c r="F54" s="22"/>
      <c r="G54" s="22"/>
      <c r="H54" s="22"/>
      <c r="I54" s="22"/>
      <c r="J54" s="22"/>
      <c r="K54" s="30"/>
      <c r="L54" s="21"/>
    </row>
    <row r="55" spans="1:12" x14ac:dyDescent="0.3">
      <c r="A55" s="21"/>
      <c r="B55" s="31" t="str">
        <f>"💰 A receita total gerada pelos Season Passes é de "&amp;TEXT(D20,"R$ #,##0")&amp;" ("&amp;TEXT(C18+C19,"0")&amp;" assinantes)."</f>
        <v>💰 A receita total gerada pelos Season Passes é de R$ 6820,0 (292 assinantes).</v>
      </c>
      <c r="C55" s="22"/>
      <c r="D55" s="22"/>
      <c r="E55" s="22"/>
      <c r="F55" s="22"/>
      <c r="G55" s="22"/>
      <c r="H55" s="22"/>
      <c r="I55" s="22"/>
      <c r="J55" s="22"/>
      <c r="K55" s="30"/>
      <c r="L55" s="21"/>
    </row>
    <row r="56" spans="1:12" x14ac:dyDescent="0.3">
      <c r="A56" s="21"/>
      <c r="B56" s="31" t="str">
        <f>"🔄 A taxa de auto renewal é de "&amp;TEXT([1]C̳álculos!B7,"0.0%")&amp;", indicando "&amp;IF([1]C̳álculos!B7&gt;0.5,"boa retenção.","oportunidade de melhoria.")</f>
        <v>🔄 A taxa de auto renewal é de 50%, indicando boa retenção.</v>
      </c>
      <c r="C56" s="22"/>
      <c r="D56" s="22"/>
      <c r="E56" s="22"/>
      <c r="F56" s="22"/>
      <c r="G56" s="22"/>
      <c r="H56" s="22"/>
      <c r="I56" s="22"/>
      <c r="J56" s="22"/>
      <c r="K56" s="30"/>
      <c r="L56" s="21"/>
    </row>
    <row r="57" spans="1:12" ht="15" thickBot="1" x14ac:dyDescent="0.35">
      <c r="A57" s="21"/>
      <c r="B57" s="29" t="str">
        <f>"🎮 "&amp;TEXT(C18,"0")&amp;" assinantes têm EA Play e "&amp;TEXT(C19,"0")&amp;" têm Minecraft Season Pass."</f>
        <v>🎮 98 assinantes têm EA Play e 194 têm Minecraft Season Pass.</v>
      </c>
      <c r="C57" s="28"/>
      <c r="D57" s="28"/>
      <c r="E57" s="28"/>
      <c r="F57" s="28"/>
      <c r="G57" s="28"/>
      <c r="H57" s="28"/>
      <c r="I57" s="28"/>
      <c r="J57" s="28"/>
      <c r="K57" s="27"/>
      <c r="L57" s="21"/>
    </row>
    <row r="58" spans="1:12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 spans="1:12" x14ac:dyDescent="0.3">
      <c r="A59" s="21"/>
      <c r="B59" s="23"/>
      <c r="C59" s="22"/>
      <c r="D59" s="22"/>
      <c r="E59" s="22"/>
      <c r="F59" s="22"/>
      <c r="G59" s="22"/>
      <c r="H59" s="22"/>
      <c r="I59" s="22"/>
      <c r="J59" s="22"/>
      <c r="K59" s="22"/>
      <c r="L59" s="21"/>
    </row>
    <row r="60" spans="1:12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</row>
  </sheetData>
  <mergeCells count="17">
    <mergeCell ref="B54:K54"/>
    <mergeCell ref="B55:K55"/>
    <mergeCell ref="B56:K56"/>
    <mergeCell ref="B57:K57"/>
    <mergeCell ref="B59:K59"/>
    <mergeCell ref="B5:C5"/>
    <mergeCell ref="D5:E5"/>
    <mergeCell ref="F5:G5"/>
    <mergeCell ref="H5:I5"/>
    <mergeCell ref="J5:K5"/>
    <mergeCell ref="B52:K52"/>
    <mergeCell ref="B2:K2"/>
    <mergeCell ref="B4:C4"/>
    <mergeCell ref="D4:E4"/>
    <mergeCell ref="F4:G4"/>
    <mergeCell ref="H4:I4"/>
    <mergeCell ref="J4:K4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A̳ssets</vt:lpstr>
      <vt:lpstr>B̳ases</vt:lpstr>
      <vt:lpstr>C̳álculos</vt:lpstr>
      <vt:lpstr>D̳ashboard</vt:lpstr>
      <vt:lpstr>D̳ashboard (3)</vt:lpstr>
      <vt:lpstr>D̳ashboard (2)</vt:lpstr>
      <vt:lpstr>D̳ashboard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Julia da Conceicao Santos</cp:lastModifiedBy>
  <dcterms:created xsi:type="dcterms:W3CDTF">2024-12-19T13:13:10Z</dcterms:created>
  <dcterms:modified xsi:type="dcterms:W3CDTF">2026-05-11T14:45:28Z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