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conceicao\Downloads\"/>
    </mc:Choice>
  </mc:AlternateContent>
  <xr:revisionPtr revIDLastSave="0" documentId="13_ncr:1_{D956FAC6-855A-4D12-8EFD-D62D963A370A}" xr6:coauthVersionLast="47" xr6:coauthVersionMax="47" xr10:uidLastSave="{00000000-0000-0000-0000-000000000000}"/>
  <bookViews>
    <workbookView xWindow="-108" yWindow="-108" windowWidth="23256" windowHeight="1389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4" l="1"/>
  <c r="B54" i="4"/>
  <c r="H19" i="4"/>
  <c r="I19" i="4" s="1"/>
  <c r="D19" i="4"/>
  <c r="C19" i="4"/>
  <c r="C20" i="4" s="1"/>
  <c r="B19" i="4"/>
  <c r="H18" i="4"/>
  <c r="I18" i="4" s="1"/>
  <c r="I20" i="4" s="1"/>
  <c r="D18" i="4"/>
  <c r="D20" i="4" s="1"/>
  <c r="B55" i="4" s="1"/>
  <c r="C18" i="4"/>
  <c r="B57" i="4" s="1"/>
  <c r="B18" i="4"/>
  <c r="J12" i="4"/>
  <c r="I12" i="4"/>
  <c r="H12" i="4"/>
  <c r="G12" i="4"/>
  <c r="E12" i="4"/>
  <c r="D12" i="4"/>
  <c r="C12" i="4"/>
  <c r="B12" i="4"/>
  <c r="J11" i="4"/>
  <c r="I11" i="4"/>
  <c r="H11" i="4"/>
  <c r="G11" i="4"/>
  <c r="E11" i="4"/>
  <c r="D11" i="4"/>
  <c r="C11" i="4"/>
  <c r="B11" i="4"/>
  <c r="J10" i="4"/>
  <c r="J13" i="4" s="1"/>
  <c r="I10" i="4"/>
  <c r="I13" i="4" s="1"/>
  <c r="H10" i="4"/>
  <c r="H13" i="4" s="1"/>
  <c r="G10" i="4"/>
  <c r="E10" i="4"/>
  <c r="E13" i="4" s="1"/>
  <c r="D10" i="4"/>
  <c r="D13" i="4" s="1"/>
  <c r="C10" i="4"/>
  <c r="C13" i="4" s="1"/>
  <c r="B10" i="4"/>
  <c r="J5" i="4"/>
  <c r="H5" i="4"/>
  <c r="F5" i="4"/>
  <c r="D5" i="4"/>
  <c r="B5" i="4"/>
  <c r="C30" i="3"/>
  <c r="C31" i="3"/>
  <c r="B30" i="3"/>
  <c r="B31" i="3"/>
  <c r="D22" i="3"/>
  <c r="D23" i="3"/>
  <c r="D24" i="3"/>
  <c r="C22" i="3"/>
  <c r="C23" i="3"/>
  <c r="C24" i="3"/>
  <c r="B22" i="3"/>
  <c r="B23" i="3"/>
  <c r="B24" i="3"/>
  <c r="D14" i="3"/>
  <c r="D15" i="3"/>
  <c r="D16" i="3"/>
  <c r="C14" i="3"/>
  <c r="C15" i="3"/>
  <c r="C16" i="3"/>
  <c r="B14" i="3"/>
  <c r="B15" i="3"/>
  <c r="B16" i="3"/>
  <c r="B8" i="3"/>
  <c r="B7" i="3"/>
  <c r="B6" i="3"/>
  <c r="B5" i="3"/>
  <c r="B4" i="3"/>
  <c r="B3" i="3"/>
  <c r="H20" i="4" l="1"/>
</calcChain>
</file>

<file path=xl/sharedStrings.xml><?xml version="1.0" encoding="utf-8"?>
<sst xmlns="http://schemas.openxmlformats.org/spreadsheetml/2006/main" count="2053" uniqueCount="347">
  <si>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</si>
  <si>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</si>
  <si>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</si>
  <si>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</si>
  <si>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</si>
  <si>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</si>
  <si>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</si>
  <si>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</si>
  <si>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</si>
  <si>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</si>
  <si>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</si>
  <si>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</si>
  <si>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</si>
  <si>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</si>
  <si>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</si>
  <si>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</si>
  <si>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</si>
  <si>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</si>
  <si>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</si>
  <si>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</si>
  <si>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</si>
  <si>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</si>
  <si>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</si>
  <si>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</si>
  <si>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</si>
  <si>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</si>
  <si>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</si>
  <si>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</si>
  <si>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</si>
  <si>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</si>
  <si>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</si>
  <si>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</si>
  <si>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</si>
  <si>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</si>
  <si>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</si>
  <si>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</si>
  <si>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</si>
  <si>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</si>
  <si>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</si>
  <si>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</si>
  <si>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</si>
  <si>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</si>
  <si>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</si>
  <si>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</si>
  <si>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</si>
  <si>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</si>
  <si>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</si>
  <si>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</si>
  <si>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</si>
  <si>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</si>
  <si>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</si>
  <si>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</si>
  <si>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</si>
  <si>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</si>
  <si>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</si>
  <si>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</si>
  <si>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</si>
  <si>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</si>
  <si>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</si>
  <si>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</si>
  <si>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</si>
  <si>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</si>
  <si>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</si>
  <si>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</si>
  <si>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</si>
  <si>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</si>
  <si>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</si>
  <si>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</si>
  <si>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</si>
  <si>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</si>
  <si>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</si>
  <si>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</si>
  <si>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</si>
  <si>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</si>
  <si>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</si>
  <si>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</si>
  <si>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</si>
  <si>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</si>
  <si>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</si>
  <si>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</si>
  <si>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</si>
  <si>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</si>
  <si>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</si>
  <si>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</si>
  <si>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</si>
  <si>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</si>
  <si>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</si>
  <si>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</si>
  <si>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</si>
  <si>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</si>
  <si>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</si>
  <si>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</si>
  <si>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</si>
  <si>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</si>
  <si>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</si>
  <si>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</si>
  <si>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</si>
  <si>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</si>
  <si>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</si>
  <si>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</si>
  <si>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</si>
  <si>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</si>
  <si>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</si>
  <si>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</si>
  <si>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</si>
  <si>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</si>
  <si>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</si>
  <si>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</si>
  <si>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</si>
  <si>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</si>
  <si>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</si>
  <si>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</si>
  <si>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</si>
  <si>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</si>
  <si>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</si>
  <si>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</si>
  <si>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</si>
  <si>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</si>
  <si>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</si>
  <si>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</si>
  <si>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</si>
  <si>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</si>
  <si>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</si>
  <si>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</si>
  <si>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</si>
  <si>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</si>
  <si>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</si>
  <si>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</si>
  <si>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</si>
  <si>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</si>
  <si>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</si>
  <si>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</si>
  <si>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</si>
  <si>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</si>
  <si>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</si>
  <si>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</si>
  <si>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</si>
  <si>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</si>
  <si>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</si>
  <si>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</si>
  <si>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</si>
  <si>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</si>
  <si>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</si>
  <si>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</si>
  <si>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</si>
  <si>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</si>
  <si>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</si>
  <si>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</si>
  <si>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</si>
  <si>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</si>
  <si>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</si>
  <si>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</si>
  <si>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</si>
  <si>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</si>
  <si>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</si>
  <si>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</si>
  <si>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</si>
  <si>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</si>
  <si>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</si>
  <si>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</si>
  <si>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</si>
  <si>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</si>
  <si>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</si>
  <si>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</si>
  <si>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</si>
  <si>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</si>
  <si>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</si>
  <si>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</si>
  <si>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</si>
  <si>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</si>
  <si>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</si>
  <si>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</si>
  <si>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</si>
  <si>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</si>
  <si>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</si>
  <si>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</si>
  <si>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</si>
  <si>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</si>
  <si>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</si>
  <si>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</si>
  <si>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</si>
  <si>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</si>
  <si>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</si>
  <si>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</si>
  <si>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</si>
  <si>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</si>
  <si>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</si>
  <si>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</si>
  <si>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</si>
  <si>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</si>
  <si>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</si>
  <si>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</si>
  <si>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</si>
  <si>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</si>
  <si>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</si>
  <si>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</si>
  <si>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</si>
  <si>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</si>
  <si>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</si>
  <si>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</si>
  <si>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</si>
  <si>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</si>
  <si>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</si>
  <si>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</si>
  <si>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</si>
  <si>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</si>
  <si>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</si>
  <si>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</si>
  <si>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</si>
  <si>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</si>
  <si>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</si>
  <si>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</si>
  <si>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</si>
  <si>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</si>
  <si>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</si>
  <si>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</si>
  <si>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</si>
  <si>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</si>
  <si>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</si>
  <si>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</si>
  <si>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</si>
  <si>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</si>
  <si>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</si>
  <si>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</si>
  <si>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</si>
  <si>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</si>
  <si>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</si>
  <si>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</si>
  <si>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</si>
  <si>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</si>
  <si>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</si>
  <si>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</si>
  <si>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</si>
  <si>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</si>
  <si>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</si>
  <si>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</si>
  <si>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</si>
  <si>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</si>
  <si>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</si>
  <si>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</si>
  <si>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</si>
  <si>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</si>
  <si>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</si>
  <si>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</si>
  <si>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</si>
  <si>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</si>
  <si>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</si>
  <si>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</si>
  <si>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</si>
  <si>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</si>
  <si>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</si>
  <si>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</si>
  <si>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</si>
  <si>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</si>
  <si>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</si>
  <si>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</si>
  <si>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</si>
  <si>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</si>
  <si>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</si>
  <si>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</si>
  <si>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</si>
  <si>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</si>
  <si>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</si>
  <si>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</si>
  <si>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</si>
  <si>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</si>
  <si>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</si>
  <si>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</si>
  <si>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</si>
  <si>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</si>
  <si>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</si>
  <si>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</si>
  <si>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</si>
  <si>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</si>
  <si>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</si>
  <si>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</si>
  <si>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</si>
  <si>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</si>
  <si>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</si>
  <si>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</si>
  <si>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</si>
  <si>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</si>
  <si>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</si>
  <si>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</si>
  <si>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</si>
  <si>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</si>
  <si>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</si>
  <si>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</si>
  <si>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</si>
  <si>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</si>
  <si>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</si>
  <si>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</si>
  <si>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</si>
  <si>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</si>
  <si>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</si>
  <si>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</si>
  <si>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</si>
  <si>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</si>
  <si>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</si>
  <si>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</si>
  <si>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</si>
  <si>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</si>
  <si>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</si>
  <si>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</si>
  <si>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</si>
  <si>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</si>
  <si>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</si>
  <si>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</si>
  <si>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</si>
  <si>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</si>
  <si>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</si>
  <si>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</si>
  <si>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</si>
  <si>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📊 MÉTRICAS PRINCIPAIS</t>
  </si>
  <si>
    <t>Total de Assinantes</t>
  </si>
  <si>
    <t>Receita Total</t>
  </si>
  <si>
    <t>Ticket Médio</t>
  </si>
  <si>
    <t>Assinantes com Auto Renewal</t>
  </si>
  <si>
    <t>Taxa de Auto Renewal</t>
  </si>
  <si>
    <t>Total de Descontos Concedidos</t>
  </si>
  <si>
    <t>📈 ANÁLISE POR PLANO</t>
  </si>
  <si>
    <t>Plano</t>
  </si>
  <si>
    <t>Qtd Assinantes</t>
  </si>
  <si>
    <t>% do Total</t>
  </si>
  <si>
    <t>📅 ANÁLISE POR TIPO DE ASSINATURA</t>
  </si>
  <si>
    <t>Tipo</t>
  </si>
  <si>
    <t>🎮 SEASON PASSES</t>
  </si>
  <si>
    <t>Season Pass</t>
  </si>
  <si>
    <t>Receita</t>
  </si>
  <si>
    <t>EA Play</t>
  </si>
  <si>
    <t>Minecraft</t>
  </si>
  <si>
    <t>📊 DASHBOARD DE VENDAS - GAME PASS</t>
  </si>
  <si>
    <t>👥 ASSINANTES</t>
  </si>
  <si>
    <t>💰 RECEITA TOTAL</t>
  </si>
  <si>
    <t>📈 TICKET MÉDIO</t>
  </si>
  <si>
    <t>🔄 AUTO RENEWAL</t>
  </si>
  <si>
    <t>🏷️ DESCONTOS</t>
  </si>
  <si>
    <t>📋 DISTRIBUIÇÃO POR PLANO</t>
  </si>
  <si>
    <t>Assinantes</t>
  </si>
  <si>
    <t>% Receita</t>
  </si>
  <si>
    <t>TOTAL</t>
  </si>
  <si>
    <t>📅 TIPO DE ASSINATURA</t>
  </si>
  <si>
    <t>Status</t>
  </si>
  <si>
    <t>Quantidade</t>
  </si>
  <si>
    <t>Ativo (Yes)</t>
  </si>
  <si>
    <t>Inativo (No)</t>
  </si>
  <si>
    <t>📌 INSIGHTS E ANÁLISES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</si>
</sst>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\R&quot;R$&quot;\ #,##0.00"/>
    <numFmt numFmtId="165" formatCode="0.0%"/>
    <numFmt numFmtId="166" formatCode="\R&quot;R$&quot;\ #,##0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4"/>
      <color rgb="FF107C10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24"/>
      <color rgb="FF22C55E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22C55E"/>
      </top>
      <bottom style="medium">
        <color rgb="FF22C55E"/>
      </bottom>
      <diagonal/>
    </border>
    <border>
      <left style="medium">
        <color rgb="FF22C55E"/>
      </left>
      <right/>
      <top style="medium">
        <color rgb="FF22C55E"/>
      </top>
      <bottom style="medium">
        <color rgb="FF22C55E"/>
      </bottom>
      <diagonal/>
    </border>
    <border>
      <left/>
      <right style="medium">
        <color rgb="FF22C55E"/>
      </right>
      <top style="medium">
        <color rgb="FF22C55E"/>
      </top>
      <bottom style="medium">
        <color rgb="FF22C55E"/>
      </bottom>
      <diagonal/>
    </border>
    <border>
      <left/>
      <right/>
      <top style="medium">
        <color rgb="FF22C55E"/>
      </top>
      <bottom/>
      <diagonal/>
    </border>
    <border>
      <left style="thin">
        <color rgb="FF107C10"/>
      </left>
      <right/>
      <top style="medium">
        <color rgb="FF22C55E"/>
      </top>
      <bottom/>
      <diagonal/>
    </border>
    <border>
      <left/>
      <right/>
      <top/>
      <bottom style="medium">
        <color rgb="FF22C55E"/>
      </bottom>
      <diagonal/>
    </border>
    <border>
      <left style="thin">
        <color rgb="FF107C10"/>
      </left>
      <right/>
      <top/>
      <bottom style="medium">
        <color rgb="FF22C55E"/>
      </bottom>
      <diagonal/>
    </border>
    <border>
      <left style="medium">
        <color rgb="FF22C55E"/>
      </left>
      <right/>
      <top style="medium">
        <color rgb="FF22C55E"/>
      </top>
      <bottom/>
      <diagonal/>
    </border>
    <border>
      <left style="medium">
        <color rgb="FF22C55E"/>
      </left>
      <right/>
      <top/>
      <bottom style="medium">
        <color rgb="FF22C55E"/>
      </bottom>
      <diagonal/>
    </border>
    <border>
      <left/>
      <right style="medium">
        <color rgb="FF22C55E"/>
      </right>
      <top style="medium">
        <color rgb="FF22C55E"/>
      </top>
      <bottom/>
      <diagonal/>
    </border>
    <border>
      <left/>
      <right style="medium">
        <color rgb="FF22C55E"/>
      </right>
      <top/>
      <bottom style="medium">
        <color rgb="FF22C55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22C55E"/>
      </bottom>
      <diagonal/>
    </border>
    <border>
      <left style="medium">
        <color rgb="FF22C55E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22C55E"/>
      </left>
      <right style="thin">
        <color auto="1"/>
      </right>
      <top style="thin">
        <color auto="1"/>
      </top>
      <bottom style="medium">
        <color rgb="FF22C55E"/>
      </bottom>
      <diagonal/>
    </border>
    <border>
      <left style="thin">
        <color auto="1"/>
      </left>
      <right style="medium">
        <color rgb="FF22C55E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22C55E"/>
      </right>
      <top style="thin">
        <color auto="1"/>
      </top>
      <bottom style="medium">
        <color rgb="FF22C55E"/>
      </bottom>
      <diagonal/>
    </border>
    <border>
      <left style="medium">
        <color rgb="FF22C55E"/>
      </left>
      <right/>
      <top/>
      <bottom/>
      <diagonal/>
    </border>
    <border>
      <left/>
      <right style="medium">
        <color rgb="FF22C55E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0" fillId="9" borderId="0" xfId="0" applyFill="1"/>
    <xf numFmtId="0" fontId="0" fillId="9" borderId="0" xfId="0" applyFill="1"/>
    <xf numFmtId="0" fontId="5" fillId="9" borderId="2" xfId="0" applyFont="1" applyFill="1" applyBorder="1" applyAlignment="1">
      <alignment horizontal="center"/>
    </xf>
    <xf numFmtId="0" fontId="0" fillId="9" borderId="2" xfId="0" applyFill="1" applyBorder="1"/>
    <xf numFmtId="166" fontId="0" fillId="9" borderId="2" xfId="0" applyNumberFormat="1" applyFill="1" applyBorder="1"/>
    <xf numFmtId="0" fontId="8" fillId="9" borderId="0" xfId="0" applyFont="1" applyFill="1"/>
    <xf numFmtId="0" fontId="0" fillId="9" borderId="3" xfId="0" applyFill="1" applyBorder="1"/>
    <xf numFmtId="0" fontId="9" fillId="9" borderId="4" xfId="0" applyFont="1" applyFill="1" applyBorder="1" applyAlignment="1">
      <alignment horizontal="center"/>
    </xf>
    <xf numFmtId="0" fontId="0" fillId="9" borderId="5" xfId="0" applyFill="1" applyBorder="1"/>
    <xf numFmtId="0" fontId="0" fillId="10" borderId="6" xfId="0" applyFill="1" applyBorder="1"/>
    <xf numFmtId="0" fontId="5" fillId="10" borderId="7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0" fillId="8" borderId="8" xfId="0" applyFill="1" applyBorder="1"/>
    <xf numFmtId="166" fontId="6" fillId="8" borderId="9" xfId="0" applyNumberFormat="1" applyFont="1" applyFill="1" applyBorder="1" applyAlignment="1">
      <alignment horizontal="center"/>
    </xf>
    <xf numFmtId="164" fontId="6" fillId="8" borderId="9" xfId="0" applyNumberFormat="1" applyFont="1" applyFill="1" applyBorder="1" applyAlignment="1">
      <alignment horizontal="center"/>
    </xf>
    <xf numFmtId="165" fontId="6" fillId="8" borderId="9" xfId="0" applyNumberFormat="1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5" fillId="10" borderId="12" xfId="0" applyFont="1" applyFill="1" applyBorder="1" applyAlignment="1">
      <alignment horizontal="center"/>
    </xf>
    <xf numFmtId="0" fontId="0" fillId="8" borderId="13" xfId="0" applyFill="1" applyBorder="1"/>
    <xf numFmtId="0" fontId="0" fillId="9" borderId="6" xfId="0" applyFill="1" applyBorder="1"/>
    <xf numFmtId="0" fontId="3" fillId="9" borderId="14" xfId="0" applyFont="1" applyFill="1" applyBorder="1"/>
    <xf numFmtId="166" fontId="3" fillId="9" borderId="14" xfId="0" applyNumberFormat="1" applyFont="1" applyFill="1" applyBorder="1"/>
    <xf numFmtId="0" fontId="7" fillId="9" borderId="10" xfId="0" applyFont="1" applyFill="1" applyBorder="1"/>
    <xf numFmtId="0" fontId="5" fillId="9" borderId="15" xfId="0" applyFont="1" applyFill="1" applyBorder="1" applyAlignment="1">
      <alignment horizontal="center"/>
    </xf>
    <xf numFmtId="0" fontId="0" fillId="9" borderId="15" xfId="0" applyFill="1" applyBorder="1"/>
    <xf numFmtId="0" fontId="3" fillId="9" borderId="16" xfId="0" applyFont="1" applyFill="1" applyBorder="1"/>
    <xf numFmtId="0" fontId="0" fillId="9" borderId="12" xfId="0" applyFill="1" applyBorder="1"/>
    <xf numFmtId="0" fontId="5" fillId="9" borderId="17" xfId="0" applyFont="1" applyFill="1" applyBorder="1" applyAlignment="1">
      <alignment horizontal="center"/>
    </xf>
    <xf numFmtId="165" fontId="0" fillId="9" borderId="17" xfId="0" applyNumberFormat="1" applyFill="1" applyBorder="1"/>
    <xf numFmtId="165" fontId="3" fillId="9" borderId="18" xfId="0" applyNumberFormat="1" applyFont="1" applyFill="1" applyBorder="1"/>
    <xf numFmtId="166" fontId="0" fillId="9" borderId="17" xfId="0" applyNumberFormat="1" applyFill="1" applyBorder="1"/>
    <xf numFmtId="166" fontId="3" fillId="9" borderId="18" xfId="0" applyNumberFormat="1" applyFont="1" applyFill="1" applyBorder="1"/>
    <xf numFmtId="0" fontId="0" fillId="9" borderId="0" xfId="0" applyFill="1" applyBorder="1"/>
    <xf numFmtId="0" fontId="0" fillId="9" borderId="0" xfId="0" applyFill="1" applyBorder="1"/>
    <xf numFmtId="0" fontId="0" fillId="9" borderId="6" xfId="0" applyFill="1" applyBorder="1"/>
    <xf numFmtId="0" fontId="0" fillId="9" borderId="8" xfId="0" applyFill="1" applyBorder="1"/>
    <xf numFmtId="0" fontId="7" fillId="9" borderId="10" xfId="0" applyFont="1" applyFill="1" applyBorder="1"/>
    <xf numFmtId="0" fontId="0" fillId="9" borderId="19" xfId="0" applyFill="1" applyBorder="1"/>
    <xf numFmtId="0" fontId="0" fillId="9" borderId="19" xfId="0" applyFill="1" applyBorder="1"/>
    <xf numFmtId="0" fontId="0" fillId="9" borderId="11" xfId="0" applyFill="1" applyBorder="1"/>
    <xf numFmtId="0" fontId="0" fillId="9" borderId="12" xfId="0" applyFill="1" applyBorder="1"/>
    <xf numFmtId="0" fontId="0" fillId="9" borderId="20" xfId="0" applyFill="1" applyBorder="1"/>
    <xf numFmtId="0" fontId="0" fillId="9" borderId="20" xfId="0" applyFill="1" applyBorder="1"/>
    <xf numFmtId="0" fontId="0" fillId="9" borderId="13" xfId="0" applyFill="1" applyBorder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💰 Receita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D̳ashboard!$B$10:$B$12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D̳ashboard!$C$10:$C$12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A-42FC-B23C-3F101471203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D̳ashboard!$B$10:$B$12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D̳ashboard!$D$10:$D$12</c:f>
              <c:numCache>
                <c:formatCode>\R"R$"\ 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A-42FC-B23C-3F1014712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👥 Assinantes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07C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D̳ashboard!$G$10:$G$12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D̳ashboard!$H$10:$H$12</c:f>
              <c:numCache>
                <c:formatCode>General</c:formatCode>
                <c:ptCount val="3"/>
                <c:pt idx="0">
                  <c:v>139</c:v>
                </c:pt>
                <c:pt idx="1">
                  <c:v>85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6-44AC-941B-0B057233C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580559"/>
        <c:axId val="1290581999"/>
      </c:barChart>
      <c:catAx>
        <c:axId val="129058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81999"/>
        <c:crosses val="autoZero"/>
        <c:auto val="1"/>
        <c:lblAlgn val="ctr"/>
        <c:lblOffset val="100"/>
        <c:noMultiLvlLbl val="0"/>
      </c:catAx>
      <c:valAx>
        <c:axId val="129058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8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🎮 Assinantes Season Pass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D̳ashboard!$B$18:$B$19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D̳ashboard!$C$18:$C$19</c:f>
              <c:numCache>
                <c:formatCode>General</c:formatCode>
                <c:ptCount val="2"/>
                <c:pt idx="0">
                  <c:v>98</c:v>
                </c:pt>
                <c:pt idx="1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1-42A5-9CD9-987C3E9F3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0578639"/>
        <c:axId val="1290584879"/>
      </c:barChart>
      <c:catAx>
        <c:axId val="129057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84879"/>
        <c:crosses val="autoZero"/>
        <c:auto val="1"/>
        <c:lblAlgn val="ctr"/>
        <c:lblOffset val="100"/>
        <c:noMultiLvlLbl val="0"/>
      </c:catAx>
      <c:valAx>
        <c:axId val="129058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7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🔄 Taxa de Auto 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D̳ashboard!$G$18:$G$19</c:f>
              <c:strCache>
                <c:ptCount val="2"/>
                <c:pt idx="0">
                  <c:v>Ativo (Yes)</c:v>
                </c:pt>
                <c:pt idx="1">
                  <c:v>Inativo (No)</c:v>
                </c:pt>
              </c:strCache>
            </c:strRef>
          </c:cat>
          <c:val>
            <c:numRef>
              <c:f>D̳ashboard!$H$18:$H$19</c:f>
              <c:numCache>
                <c:formatCode>General</c:formatCode>
                <c:ptCount val="2"/>
                <c:pt idx="0">
                  <c:v>148</c:v>
                </c:pt>
                <c:pt idx="1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9-42D2-BBCE-C805A5712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5</xdr:col>
      <xdr:colOff>0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4A7A92-D5EF-E998-6538-A6BB2EF52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48348A-8965-DC90-12D9-5A8B50BF8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5</xdr:col>
      <xdr:colOff>0</xdr:colOff>
      <xdr:row>50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E0B72E-F53B-603F-EF8D-C67167AAA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39</xdr:row>
      <xdr:rowOff>0</xdr:rowOff>
    </xdr:from>
    <xdr:to>
      <xdr:col>10</xdr:col>
      <xdr:colOff>0</xdr:colOff>
      <xdr:row>50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EF4386-B181-D9FA-40A8-72C1643B7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1" zoomScaleNormal="100" workbookViewId="0">
      <selection activeCell="D31" sqref="D3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11" zoomScale="90" zoomScaleNormal="90" workbookViewId="0">
      <selection activeCell="I2" sqref="I2:I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D31"/>
  <sheetViews>
    <sheetView showGridLines="0" topLeftCell="A27" workbookViewId="0"/>
  </sheetViews>
  <sheetFormatPr defaultRowHeight="14.4" x14ac:dyDescent="0.3"/>
  <cols>
    <col min="1" max="4" width="27.77734375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4" ht="18" x14ac:dyDescent="0.35">
      <c r="A1" s="13" t="s">
        <v>313</v>
      </c>
    </row>
    <row r="3" spans="1:4" x14ac:dyDescent="0.3">
      <c r="A3" t="s">
        <v>314</v>
      </c>
      <c r="B3">
        <f>COUNTA(B̳ases!A2:A296)</f>
        <v>295</v>
      </c>
    </row>
    <row r="4" spans="1:4" x14ac:dyDescent="0.3">
      <c r="A4" t="s">
        <v>315</v>
      </c>
      <c r="B4" s="14">
        <f>SUM(B̳ases!M2:M296)</f>
        <v>7633</v>
      </c>
    </row>
    <row r="5" spans="1:4" x14ac:dyDescent="0.3">
      <c r="A5" t="s">
        <v>316</v>
      </c>
      <c r="B5" s="14">
        <f>AVERAGE(B̳ases!M2:M296)</f>
        <v>25.874576271186442</v>
      </c>
    </row>
    <row r="6" spans="1:4" x14ac:dyDescent="0.3">
      <c r="A6" t="s">
        <v>317</v>
      </c>
      <c r="B6">
        <f>COUNTIF(B̳ases!E2:E296,"Yes")</f>
        <v>148</v>
      </c>
    </row>
    <row r="7" spans="1:4" x14ac:dyDescent="0.3">
      <c r="A7" t="s">
        <v>318</v>
      </c>
      <c r="B7" s="15">
        <f>B6/B3</f>
        <v>0.50169491525423726</v>
      </c>
    </row>
    <row r="8" spans="1:4" x14ac:dyDescent="0.3">
      <c r="A8" t="s">
        <v>319</v>
      </c>
      <c r="B8" s="14">
        <f>SUM(B̳ases!L2:L296)</f>
        <v>2122</v>
      </c>
    </row>
    <row r="11" spans="1:4" ht="18" x14ac:dyDescent="0.35">
      <c r="A11" s="13" t="s">
        <v>320</v>
      </c>
    </row>
    <row r="13" spans="1:4" x14ac:dyDescent="0.3">
      <c r="A13" s="12" t="s">
        <v>321</v>
      </c>
      <c r="B13" s="12" t="s">
        <v>322</v>
      </c>
      <c r="C13" s="12" t="s">
        <v>315</v>
      </c>
      <c r="D13" s="12" t="s">
        <v>323</v>
      </c>
    </row>
    <row r="14" spans="1:4" x14ac:dyDescent="0.3">
      <c r="A14" t="s">
        <v>22</v>
      </c>
      <c r="B14">
        <f>COUNTIF(B̳ases!C:C,A14)</f>
        <v>101</v>
      </c>
      <c r="C14" s="14">
        <f>SUMIF(B̳ases!C:C,A14,B̳ases!M:M)</f>
        <v>444</v>
      </c>
      <c r="D14" s="15">
        <f>C14/$B$4</f>
        <v>5.816847897288091E-2</v>
      </c>
    </row>
    <row r="15" spans="1:4" x14ac:dyDescent="0.3">
      <c r="A15" t="s">
        <v>26</v>
      </c>
      <c r="B15">
        <f>COUNTIF(B̳ases!C:C,A15)</f>
        <v>96</v>
      </c>
      <c r="C15" s="14">
        <f>SUMIF(B̳ases!C:C,A15,B̳ases!M:M)</f>
        <v>1801</v>
      </c>
      <c r="D15" s="15">
        <f>C15/$B$4</f>
        <v>0.23594916808594263</v>
      </c>
    </row>
    <row r="16" spans="1:4" x14ac:dyDescent="0.3">
      <c r="A16" t="s">
        <v>18</v>
      </c>
      <c r="B16">
        <f>COUNTIF(B̳ases!C:C,A16)</f>
        <v>98</v>
      </c>
      <c r="C16" s="14">
        <f>SUMIF(B̳ases!C:C,A16,B̳ases!M:M)</f>
        <v>5388</v>
      </c>
      <c r="D16" s="15">
        <f>C16/$B$4</f>
        <v>0.70588235294117652</v>
      </c>
    </row>
    <row r="19" spans="1:4" ht="18" x14ac:dyDescent="0.35">
      <c r="A19" s="13" t="s">
        <v>324</v>
      </c>
    </row>
    <row r="21" spans="1:4" x14ac:dyDescent="0.3">
      <c r="A21" s="12" t="s">
        <v>325</v>
      </c>
      <c r="B21" s="12" t="s">
        <v>322</v>
      </c>
      <c r="C21" s="12" t="s">
        <v>315</v>
      </c>
      <c r="D21" s="12" t="s">
        <v>323</v>
      </c>
    </row>
    <row r="22" spans="1:4" x14ac:dyDescent="0.3">
      <c r="A22" t="s">
        <v>20</v>
      </c>
      <c r="B22">
        <f>COUNTIF(B̳ases!G:G,A22)</f>
        <v>139</v>
      </c>
      <c r="C22" s="14">
        <f>SUMIF(B̳ases!G:G,A22,B̳ases!M:M)</f>
        <v>3571</v>
      </c>
      <c r="D22" s="15">
        <f>C22/$B$4</f>
        <v>0.46783702345080569</v>
      </c>
    </row>
    <row r="23" spans="1:4" x14ac:dyDescent="0.3">
      <c r="A23" t="s">
        <v>27</v>
      </c>
      <c r="B23">
        <f>COUNTIF(B̳ases!G:G,A23)</f>
        <v>85</v>
      </c>
      <c r="C23" s="14">
        <f>SUMIF(B̳ases!G:G,A23,B̳ases!M:M)</f>
        <v>2308</v>
      </c>
      <c r="D23" s="15">
        <f>C23/$B$4</f>
        <v>0.30237128258875934</v>
      </c>
    </row>
    <row r="24" spans="1:4" x14ac:dyDescent="0.3">
      <c r="A24" t="s">
        <v>24</v>
      </c>
      <c r="B24">
        <f>COUNTIF(B̳ases!G:G,A24)</f>
        <v>71</v>
      </c>
      <c r="C24" s="14">
        <f>SUMIF(B̳ases!G:G,A24,B̳ases!M:M)</f>
        <v>1754</v>
      </c>
      <c r="D24" s="15">
        <f>C24/$B$4</f>
        <v>0.22979169396043495</v>
      </c>
    </row>
    <row r="27" spans="1:4" ht="18" x14ac:dyDescent="0.35">
      <c r="A27" s="13" t="s">
        <v>326</v>
      </c>
    </row>
    <row r="29" spans="1:4" x14ac:dyDescent="0.3">
      <c r="A29" s="12" t="s">
        <v>327</v>
      </c>
      <c r="B29" s="12" t="s">
        <v>322</v>
      </c>
      <c r="C29" s="12" t="s">
        <v>328</v>
      </c>
    </row>
    <row r="30" spans="1:4" x14ac:dyDescent="0.3">
      <c r="A30" t="s">
        <v>329</v>
      </c>
      <c r="B30">
        <f>COUNTIF(B̳ases!H:H,"Yes")</f>
        <v>98</v>
      </c>
      <c r="C30" s="14">
        <f>SUMIF(B̳ases!H:H,"Yes",B̳ases!I:I)</f>
        <v>2940</v>
      </c>
    </row>
    <row r="31" spans="1:4" x14ac:dyDescent="0.3">
      <c r="A31" t="s">
        <v>330</v>
      </c>
      <c r="B31">
        <f>COUNTIF(B̳ases!J:J,"Yes")</f>
        <v>194</v>
      </c>
      <c r="C31" s="14">
        <f>SUMIF(B̳ases!J:J,"Yes",B̳ases!K:K)</f>
        <v>3880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L60"/>
  <sheetViews>
    <sheetView showGridLines="0" tabSelected="1" zoomScale="80" zoomScaleNormal="80" workbookViewId="0">
      <pane ySplit="3" topLeftCell="A4" activePane="bottomLeft" state="frozen"/>
      <selection pane="bottomLeft" activeCell="E60" sqref="E60"/>
    </sheetView>
  </sheetViews>
  <sheetFormatPr defaultRowHeight="14.4" x14ac:dyDescent="0.3"/>
  <cols>
    <col min="1" max="1" width="3.6640625" customWidth="1"/>
    <col min="2" max="11" width="15.77734375" customWidth="1"/>
    <col min="12" max="12" width="6.5546875" customWidth="1"/>
  </cols>
  <sheetData>
    <row r="1" spans="1:12" ht="15" thickBot="1" x14ac:dyDescent="0.3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9" customHeight="1" thickBot="1" x14ac:dyDescent="0.65">
      <c r="A2" s="16"/>
      <c r="B2" s="23" t="s">
        <v>331</v>
      </c>
      <c r="C2" s="22"/>
      <c r="D2" s="22"/>
      <c r="E2" s="22"/>
      <c r="F2" s="22"/>
      <c r="G2" s="22"/>
      <c r="H2" s="22"/>
      <c r="I2" s="22"/>
      <c r="J2" s="22"/>
      <c r="K2" s="24"/>
      <c r="L2" s="16"/>
    </row>
    <row r="3" spans="1:12" ht="8.25" customHeight="1" thickBot="1" x14ac:dyDescent="0.3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ht="25.05" customHeight="1" x14ac:dyDescent="0.3">
      <c r="A4" s="16"/>
      <c r="B4" s="32" t="s">
        <v>332</v>
      </c>
      <c r="C4" s="25"/>
      <c r="D4" s="26" t="s">
        <v>333</v>
      </c>
      <c r="E4" s="25"/>
      <c r="F4" s="26" t="s">
        <v>334</v>
      </c>
      <c r="G4" s="25"/>
      <c r="H4" s="26" t="s">
        <v>335</v>
      </c>
      <c r="I4" s="27"/>
      <c r="J4" s="26" t="s">
        <v>336</v>
      </c>
      <c r="K4" s="34"/>
      <c r="L4" s="16"/>
    </row>
    <row r="5" spans="1:12" ht="45" customHeight="1" thickBot="1" x14ac:dyDescent="0.75">
      <c r="A5" s="16"/>
      <c r="B5" s="33">
        <f>C̳álculos!B3</f>
        <v>295</v>
      </c>
      <c r="C5" s="28"/>
      <c r="D5" s="29">
        <f>C̳álculos!B4</f>
        <v>7633</v>
      </c>
      <c r="E5" s="28"/>
      <c r="F5" s="30">
        <f>C̳álculos!B5</f>
        <v>25.874576271186442</v>
      </c>
      <c r="G5" s="28"/>
      <c r="H5" s="31">
        <f>C̳álculos!B7</f>
        <v>0.50169491525423726</v>
      </c>
      <c r="I5" s="28"/>
      <c r="J5" s="29">
        <f>C̳álculos!B8</f>
        <v>2122</v>
      </c>
      <c r="K5" s="35"/>
      <c r="L5" s="16"/>
    </row>
    <row r="6" spans="1:12" ht="9.75" customHeight="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ht="33" customHeight="1" thickBot="1" x14ac:dyDescent="0.3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ht="18" x14ac:dyDescent="0.35">
      <c r="A8" s="16"/>
      <c r="B8" s="39" t="s">
        <v>337</v>
      </c>
      <c r="C8" s="36"/>
      <c r="D8" s="36"/>
      <c r="E8" s="43"/>
      <c r="F8" s="16"/>
      <c r="G8" s="39" t="s">
        <v>341</v>
      </c>
      <c r="H8" s="36"/>
      <c r="I8" s="36"/>
      <c r="J8" s="43"/>
      <c r="K8" s="16"/>
      <c r="L8" s="16"/>
    </row>
    <row r="9" spans="1:12" x14ac:dyDescent="0.3">
      <c r="A9" s="16"/>
      <c r="B9" s="40" t="s">
        <v>321</v>
      </c>
      <c r="C9" s="18" t="s">
        <v>338</v>
      </c>
      <c r="D9" s="18" t="s">
        <v>328</v>
      </c>
      <c r="E9" s="44" t="s">
        <v>339</v>
      </c>
      <c r="F9" s="16"/>
      <c r="G9" s="40" t="s">
        <v>325</v>
      </c>
      <c r="H9" s="18" t="s">
        <v>338</v>
      </c>
      <c r="I9" s="18" t="s">
        <v>328</v>
      </c>
      <c r="J9" s="44" t="s">
        <v>339</v>
      </c>
      <c r="K9" s="16"/>
      <c r="L9" s="16"/>
    </row>
    <row r="10" spans="1:12" x14ac:dyDescent="0.3">
      <c r="A10" s="16"/>
      <c r="B10" s="41" t="str">
        <f>C̳álculos!A14</f>
        <v>Core</v>
      </c>
      <c r="C10" s="19">
        <f>C̳álculos!B14</f>
        <v>101</v>
      </c>
      <c r="D10" s="20">
        <f>C̳álculos!C14</f>
        <v>444</v>
      </c>
      <c r="E10" s="45">
        <f>C̳álculos!D14</f>
        <v>5.816847897288091E-2</v>
      </c>
      <c r="F10" s="16"/>
      <c r="G10" s="41" t="str">
        <f>C̳álculos!A22</f>
        <v>Monthly</v>
      </c>
      <c r="H10" s="19">
        <f>C̳álculos!B22</f>
        <v>139</v>
      </c>
      <c r="I10" s="20">
        <f>C̳álculos!C22</f>
        <v>3571</v>
      </c>
      <c r="J10" s="45">
        <f>C̳álculos!D22</f>
        <v>0.46783702345080569</v>
      </c>
      <c r="K10" s="16"/>
      <c r="L10" s="16"/>
    </row>
    <row r="11" spans="1:12" x14ac:dyDescent="0.3">
      <c r="A11" s="16"/>
      <c r="B11" s="41" t="str">
        <f>C̳álculos!A15</f>
        <v>Standard</v>
      </c>
      <c r="C11" s="19">
        <f>C̳álculos!B15</f>
        <v>96</v>
      </c>
      <c r="D11" s="20">
        <f>C̳álculos!C15</f>
        <v>1801</v>
      </c>
      <c r="E11" s="45">
        <f>C̳álculos!D15</f>
        <v>0.23594916808594263</v>
      </c>
      <c r="F11" s="16"/>
      <c r="G11" s="41" t="str">
        <f>C̳álculos!A23</f>
        <v>Quarterly</v>
      </c>
      <c r="H11" s="19">
        <f>C̳álculos!B23</f>
        <v>85</v>
      </c>
      <c r="I11" s="20">
        <f>C̳álculos!C23</f>
        <v>2308</v>
      </c>
      <c r="J11" s="45">
        <f>C̳álculos!D23</f>
        <v>0.30237128258875934</v>
      </c>
      <c r="K11" s="16"/>
      <c r="L11" s="16"/>
    </row>
    <row r="12" spans="1:12" x14ac:dyDescent="0.3">
      <c r="A12" s="16"/>
      <c r="B12" s="41" t="str">
        <f>C̳álculos!A16</f>
        <v>Ultimate</v>
      </c>
      <c r="C12" s="19">
        <f>C̳álculos!B16</f>
        <v>98</v>
      </c>
      <c r="D12" s="20">
        <f>C̳álculos!C16</f>
        <v>5388</v>
      </c>
      <c r="E12" s="45">
        <f>C̳álculos!D16</f>
        <v>0.70588235294117652</v>
      </c>
      <c r="F12" s="16"/>
      <c r="G12" s="41" t="str">
        <f>C̳álculos!A24</f>
        <v>Annual</v>
      </c>
      <c r="H12" s="19">
        <f>C̳álculos!B24</f>
        <v>71</v>
      </c>
      <c r="I12" s="20">
        <f>C̳álculos!C24</f>
        <v>1754</v>
      </c>
      <c r="J12" s="45">
        <f>C̳álculos!D24</f>
        <v>0.22979169396043495</v>
      </c>
      <c r="K12" s="16"/>
      <c r="L12" s="16"/>
    </row>
    <row r="13" spans="1:12" ht="15" thickBot="1" x14ac:dyDescent="0.35">
      <c r="A13" s="16"/>
      <c r="B13" s="42" t="s">
        <v>340</v>
      </c>
      <c r="C13" s="37">
        <f>SUM(C10:C12)</f>
        <v>295</v>
      </c>
      <c r="D13" s="38">
        <f>SUM(D10:D12)</f>
        <v>7633</v>
      </c>
      <c r="E13" s="46">
        <f>SUM(E10:E12)</f>
        <v>1</v>
      </c>
      <c r="F13" s="16"/>
      <c r="G13" s="42" t="s">
        <v>340</v>
      </c>
      <c r="H13" s="37">
        <f>SUM(H10:H12)</f>
        <v>295</v>
      </c>
      <c r="I13" s="38">
        <f>SUM(I10:I12)</f>
        <v>7633</v>
      </c>
      <c r="J13" s="46">
        <f>SUM(J10:J12)</f>
        <v>1</v>
      </c>
      <c r="K13" s="16"/>
      <c r="L13" s="16"/>
    </row>
    <row r="14" spans="1:12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2" ht="15" thickBot="1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2" ht="18" x14ac:dyDescent="0.35">
      <c r="A16" s="16"/>
      <c r="B16" s="39" t="s">
        <v>326</v>
      </c>
      <c r="C16" s="36"/>
      <c r="D16" s="43"/>
      <c r="E16" s="16"/>
      <c r="F16" s="16"/>
      <c r="G16" s="39" t="s">
        <v>335</v>
      </c>
      <c r="H16" s="36"/>
      <c r="I16" s="43"/>
      <c r="J16" s="16"/>
      <c r="K16" s="16"/>
      <c r="L16" s="16"/>
    </row>
    <row r="17" spans="1:12" x14ac:dyDescent="0.3">
      <c r="A17" s="16"/>
      <c r="B17" s="40" t="s">
        <v>327</v>
      </c>
      <c r="C17" s="18" t="s">
        <v>338</v>
      </c>
      <c r="D17" s="44" t="s">
        <v>328</v>
      </c>
      <c r="E17" s="16"/>
      <c r="F17" s="16"/>
      <c r="G17" s="40" t="s">
        <v>342</v>
      </c>
      <c r="H17" s="18" t="s">
        <v>343</v>
      </c>
      <c r="I17" s="44" t="s">
        <v>323</v>
      </c>
      <c r="J17" s="16"/>
      <c r="K17" s="16"/>
      <c r="L17" s="16"/>
    </row>
    <row r="18" spans="1:12" x14ac:dyDescent="0.3">
      <c r="A18" s="16"/>
      <c r="B18" s="41" t="str">
        <f>C̳álculos!A30</f>
        <v>EA Play</v>
      </c>
      <c r="C18" s="19">
        <f>C̳álculos!B30</f>
        <v>98</v>
      </c>
      <c r="D18" s="47">
        <f>C̳álculos!C30</f>
        <v>2940</v>
      </c>
      <c r="E18" s="16"/>
      <c r="F18" s="16"/>
      <c r="G18" s="41" t="s">
        <v>344</v>
      </c>
      <c r="H18" s="19">
        <f>C̳álculos!B6</f>
        <v>148</v>
      </c>
      <c r="I18" s="45">
        <f>H18/C̳álculos!B3</f>
        <v>0.50169491525423726</v>
      </c>
      <c r="J18" s="16"/>
      <c r="K18" s="16"/>
      <c r="L18" s="16"/>
    </row>
    <row r="19" spans="1:12" x14ac:dyDescent="0.3">
      <c r="A19" s="16"/>
      <c r="B19" s="41" t="str">
        <f>C̳álculos!A31</f>
        <v>Minecraft</v>
      </c>
      <c r="C19" s="19">
        <f>C̳álculos!B31</f>
        <v>194</v>
      </c>
      <c r="D19" s="47">
        <f>C̳álculos!C31</f>
        <v>3880</v>
      </c>
      <c r="E19" s="16"/>
      <c r="F19" s="16"/>
      <c r="G19" s="41" t="s">
        <v>345</v>
      </c>
      <c r="H19" s="19">
        <f>C̳álculos!B3-C̳álculos!B6</f>
        <v>147</v>
      </c>
      <c r="I19" s="45">
        <f>H19/C̳álculos!B3</f>
        <v>0.49830508474576274</v>
      </c>
      <c r="J19" s="16"/>
      <c r="K19" s="16"/>
      <c r="L19" s="16"/>
    </row>
    <row r="20" spans="1:12" ht="15" thickBot="1" x14ac:dyDescent="0.35">
      <c r="A20" s="16"/>
      <c r="B20" s="42" t="s">
        <v>340</v>
      </c>
      <c r="C20" s="37">
        <f>SUM(C18:C19)</f>
        <v>292</v>
      </c>
      <c r="D20" s="48">
        <f>SUM(D18:D19)</f>
        <v>6820</v>
      </c>
      <c r="E20" s="16"/>
      <c r="F20" s="16"/>
      <c r="G20" s="42" t="s">
        <v>340</v>
      </c>
      <c r="H20" s="37">
        <f>SUM(H18:H19)</f>
        <v>295</v>
      </c>
      <c r="I20" s="46">
        <f>SUM(I18:I19)</f>
        <v>1</v>
      </c>
      <c r="J20" s="16"/>
      <c r="K20" s="16"/>
      <c r="L20" s="16"/>
    </row>
    <row r="21" spans="1:12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2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2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2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2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2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2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2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2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2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 spans="1:12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1:12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spans="1:12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 spans="1:12" ht="15" thickBot="1" x14ac:dyDescent="0.3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ht="18" x14ac:dyDescent="0.35">
      <c r="A52" s="16"/>
      <c r="B52" s="53" t="s">
        <v>346</v>
      </c>
      <c r="C52" s="51"/>
      <c r="D52" s="51"/>
      <c r="E52" s="51"/>
      <c r="F52" s="51"/>
      <c r="G52" s="51"/>
      <c r="H52" s="51"/>
      <c r="I52" s="51"/>
      <c r="J52" s="51"/>
      <c r="K52" s="57"/>
      <c r="L52" s="16"/>
    </row>
    <row r="53" spans="1:12" x14ac:dyDescent="0.3">
      <c r="A53" s="16"/>
      <c r="B53" s="54"/>
      <c r="C53" s="49"/>
      <c r="D53" s="49"/>
      <c r="E53" s="49"/>
      <c r="F53" s="49"/>
      <c r="G53" s="49"/>
      <c r="H53" s="49"/>
      <c r="I53" s="49"/>
      <c r="J53" s="49"/>
      <c r="K53" s="58"/>
      <c r="L53" s="16"/>
    </row>
    <row r="54" spans="1:12" x14ac:dyDescent="0.3">
      <c r="A54" s="16"/>
      <c r="B54" s="55" t="str">
        <f>"📊 O plano com maior receita é o Ultimate, representando "&amp;TEXT(C̳álculos!D16,"0.0%")&amp;" do total de receitas."</f>
        <v>📊 O plano com maior receita é o Ultimate, representando 71% do total de receitas.</v>
      </c>
      <c r="C54" s="50"/>
      <c r="D54" s="50"/>
      <c r="E54" s="50"/>
      <c r="F54" s="50"/>
      <c r="G54" s="50"/>
      <c r="H54" s="50"/>
      <c r="I54" s="50"/>
      <c r="J54" s="50"/>
      <c r="K54" s="59"/>
      <c r="L54" s="16"/>
    </row>
    <row r="55" spans="1:12" x14ac:dyDescent="0.3">
      <c r="A55" s="16"/>
      <c r="B55" s="55" t="str">
        <f>"💰 A receita total gerada pelos Season Passes é de "&amp;TEXT(D20,"R$ #,##0")&amp;" ("&amp;TEXT(C18+C19,"0")&amp;" assinantes)."</f>
        <v>💰 A receita total gerada pelos Season Passes é de R$ 6820,0 (292 assinantes).</v>
      </c>
      <c r="C55" s="50"/>
      <c r="D55" s="50"/>
      <c r="E55" s="50"/>
      <c r="F55" s="50"/>
      <c r="G55" s="50"/>
      <c r="H55" s="50"/>
      <c r="I55" s="50"/>
      <c r="J55" s="50"/>
      <c r="K55" s="59"/>
      <c r="L55" s="16"/>
    </row>
    <row r="56" spans="1:12" x14ac:dyDescent="0.3">
      <c r="A56" s="16"/>
      <c r="B56" s="55" t="str">
        <f>"🔄 A taxa de auto renewal é de "&amp;TEXT(C̳álculos!B7,"0.0%")&amp;", indicando "&amp;IF(C̳álculos!B7&gt;0.5,"boa retenção.","oportunidade de melhoria.")</f>
        <v>🔄 A taxa de auto renewal é de 50%, indicando boa retenção.</v>
      </c>
      <c r="C56" s="50"/>
      <c r="D56" s="50"/>
      <c r="E56" s="50"/>
      <c r="F56" s="50"/>
      <c r="G56" s="50"/>
      <c r="H56" s="50"/>
      <c r="I56" s="50"/>
      <c r="J56" s="50"/>
      <c r="K56" s="59"/>
      <c r="L56" s="16"/>
    </row>
    <row r="57" spans="1:12" ht="15" thickBot="1" x14ac:dyDescent="0.35">
      <c r="A57" s="16"/>
      <c r="B57" s="56" t="str">
        <f>"🎮 "&amp;TEXT(C18,"0")&amp;" assinantes têm EA Play e "&amp;TEXT(C19,"0")&amp;" têm Minecraft Season Pass."</f>
        <v>🎮 98 assinantes têm EA Play e 194 têm Minecraft Season Pass.</v>
      </c>
      <c r="C57" s="52"/>
      <c r="D57" s="52"/>
      <c r="E57" s="52"/>
      <c r="F57" s="52"/>
      <c r="G57" s="52"/>
      <c r="H57" s="52"/>
      <c r="I57" s="52"/>
      <c r="J57" s="52"/>
      <c r="K57" s="60"/>
      <c r="L57" s="16"/>
    </row>
    <row r="58" spans="1:12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 spans="1:12" x14ac:dyDescent="0.3">
      <c r="A59" s="16"/>
      <c r="B59" s="21"/>
      <c r="C59" s="17"/>
      <c r="D59" s="17"/>
      <c r="E59" s="17"/>
      <c r="F59" s="17"/>
      <c r="G59" s="17"/>
      <c r="H59" s="17"/>
      <c r="I59" s="17"/>
      <c r="J59" s="17"/>
      <c r="K59" s="17"/>
      <c r="L59" s="16"/>
    </row>
    <row r="60" spans="1:12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</row>
  </sheetData>
  <mergeCells count="17">
    <mergeCell ref="B59:K59"/>
    <mergeCell ref="J5:K5"/>
    <mergeCell ref="B52:K52"/>
    <mergeCell ref="B54:K54"/>
    <mergeCell ref="B55:K55"/>
    <mergeCell ref="B56:K56"/>
    <mergeCell ref="B57:K57"/>
    <mergeCell ref="B2:K2"/>
    <mergeCell ref="B4:C4"/>
    <mergeCell ref="B5:C5"/>
    <mergeCell ref="D4:E4"/>
    <mergeCell ref="D5:E5"/>
    <mergeCell ref="F4:G4"/>
    <mergeCell ref="F5:G5"/>
    <mergeCell ref="H4:I4"/>
    <mergeCell ref="H5:I5"/>
    <mergeCell ref="J4:K4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Julia da Conceicao Santos</cp:lastModifiedBy>
  <dcterms:created xsi:type="dcterms:W3CDTF">2024-12-19T13:13:10Z</dcterms:created>
  <dcterms:modified xsi:type="dcterms:W3CDTF">2026-05-11T13:53:43Z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